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Escalas" sheetId="2" state="visible" r:id="rId4"/>
    <sheet name="Activos" sheetId="3" state="visible" r:id="rId5"/>
    <sheet name="STRIDE" sheetId="4" state="visible" r:id="rId6"/>
    <sheet name="DREAD" sheetId="5" state="visible" r:id="rId7"/>
    <sheet name="Matriz" sheetId="6" state="visible" r:id="rId8"/>
    <sheet name="Hallazgos" sheetId="7" state="visible" r:id="rId9"/>
    <sheet name="Mapa_de_calor" sheetId="8" state="visible" r:id="rId10"/>
    <sheet name="Capas" sheetId="9" state="visible" r:id="rId11"/>
  </sheets>
  <definedNames>
    <definedName function="false" hidden="true" localSheetId="2" name="_xlnm._FilterDatabase" vbProcedure="false">Activos!$A$4:$O$28</definedName>
    <definedName function="false" hidden="true" localSheetId="6" name="_xlnm._FilterDatabase" vbProcedure="false">Hallazgos!$A$4:$P$18</definedName>
    <definedName function="false" hidden="true" localSheetId="5" name="_xlnm._FilterDatabase" vbProcedure="false">Matriz!$A$4:$Q$33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<sst xmlns="http://schemas.openxmlformats.org/spreadsheetml/2006/main" count="1110" uniqueCount="699">
  <si>
    <t xml:space="preserve">Análisis de riesgos del CMS (ISO/IEC 27001, STRIDE y DREAD)</t>
  </si>
  <si>
    <t xml:space="preserve">Borrador de trabajo para el informe, sección 2 (Activos y riesgos). Los valores son una propuesta inicial basada en lo construido y probado en el proyecto.</t>
  </si>
  <si>
    <t xml:space="preserve">Hoja</t>
  </si>
  <si>
    <t xml:space="preserve">Contenido</t>
  </si>
  <si>
    <t xml:space="preserve">Escalas</t>
  </si>
  <si>
    <t xml:space="preserve">Parámetros de cálculo (editables) y definiciones de las escalas CIA, DREAD, probabilidad e impacto.</t>
  </si>
  <si>
    <t xml:space="preserve">Activos</t>
  </si>
  <si>
    <t xml:space="preserve">Inventario de activos (2.1) con valoración CIA y criticidad calculada (2.2).</t>
  </si>
  <si>
    <t xml:space="preserve">STRIDE</t>
  </si>
  <si>
    <t xml:space="preserve">Modelado de amenazas (2.3): 29 amenazas clasificadas por categoría STRIDE.</t>
  </si>
  <si>
    <t xml:space="preserve">DREAD</t>
  </si>
  <si>
    <t xml:space="preserve">Puntaje DREAD de cada amenaza (2.4). El promedio y el nivel se calculan solos.</t>
  </si>
  <si>
    <t xml:space="preserve">Matriz</t>
  </si>
  <si>
    <t xml:space="preserve">Matriz de riesgos inicial (2.5) y columnas para el riesgo residual y el tratamiento (etapa 13).</t>
  </si>
  <si>
    <t xml:space="preserve">Mapa_de_calor</t>
  </si>
  <si>
    <t xml:space="preserve">Matriz de calor de probabilidad contra impacto, antes y después de los controles. Se llena sola con las fórmulas.</t>
  </si>
  <si>
    <t xml:space="preserve">Capas</t>
  </si>
  <si>
    <t xml:space="preserve">Análisis de riesgos en las 7 capas de seguridad en profundidad (1.3 del enunciado).</t>
  </si>
  <si>
    <t xml:space="preserve">Hallazgos</t>
  </si>
  <si>
    <t xml:space="preserve">Hallazgos de las pruebas de penetración y del CI, con su DREAD, tratamiento y estado en v1.0 y v1.1.</t>
  </si>
  <si>
    <t xml:space="preserve">Cómo editarlo</t>
  </si>
  <si>
    <t xml:space="preserve">Texto azul</t>
  </si>
  <si>
    <t xml:space="preserve">Valores que podés ajustar: letras A/M/B de CIA y puntajes DREAD (1 a 10). Todo lo demás se recalcula.</t>
  </si>
  <si>
    <t xml:space="preserve">Texto negro</t>
  </si>
  <si>
    <t xml:space="preserve">Fórmulas y textos descriptivos. No sobrescribas las fórmulas.</t>
  </si>
  <si>
    <t xml:space="preserve">Celda amarilla</t>
  </si>
  <si>
    <t xml:space="preserve">Valores propuestos en la etapa 13 (riesgo residual, tratamiento y estado) a partir de las pruebas. Revisalos y ajustalos si no te convencen.</t>
  </si>
  <si>
    <t xml:space="preserve">Supuestos</t>
  </si>
  <si>
    <t xml:space="preserve">S1</t>
  </si>
  <si>
    <t xml:space="preserve">Riesgo inicial = riesgo inherente, es decir, el que habría sin los controles que se construyeron. El residual se estima después de las pruebas de penetración.</t>
  </si>
  <si>
    <t xml:space="preserve">S2</t>
  </si>
  <si>
    <t xml:space="preserve">La probabilidad (1 a 5) sale del promedio de reproducibilidad, explotabilidad y descubribilidad de DREAD, dividido entre el divisor de la hoja Escalas. El impacto (1 a 5) sale del promedio de daño y usuarios afectados.</t>
  </si>
  <si>
    <t xml:space="preserve">S3</t>
  </si>
  <si>
    <t xml:space="preserve">Los puntajes DREAD son un juicio de analista. Se justifican en la hoja DREAD y deben revisarse y ajustarse antes de entregar.</t>
  </si>
  <si>
    <t xml:space="preserve">S4</t>
  </si>
  <si>
    <t xml:space="preserve">Los propietarios y custodios están expresados como roles, porque el proyecto lo desarrolla una sola persona.</t>
  </si>
  <si>
    <t xml:space="preserve">S5</t>
  </si>
  <si>
    <t xml:space="preserve">Los activos de la nube corresponden al diseño en AWS (Terraform escaneado con Checkov, sin desplegar). El entorno evaluado es Docker Compose local.</t>
  </si>
  <si>
    <t xml:space="preserve">Escalas y parámetros de cálculo</t>
  </si>
  <si>
    <t xml:space="preserve">Las celdas con texto azul son parámetros editables que usan las fórmulas de las demás hojas.</t>
  </si>
  <si>
    <t xml:space="preserve">Parámetro</t>
  </si>
  <si>
    <t xml:space="preserve">Valor</t>
  </si>
  <si>
    <t xml:space="preserve">Uso</t>
  </si>
  <si>
    <t xml:space="preserve">Puntaje de una valoración Alta (A)</t>
  </si>
  <si>
    <t xml:space="preserve">Suma de C, I y D para la criticidad del activo</t>
  </si>
  <si>
    <t xml:space="preserve">Puntaje de una valoración Media (M)</t>
  </si>
  <si>
    <t xml:space="preserve">Idem</t>
  </si>
  <si>
    <t xml:space="preserve">Puntaje de una valoración Baja (B)</t>
  </si>
  <si>
    <t xml:space="preserve">Criticidad Crítica desde (puntaje CIA)</t>
  </si>
  <si>
    <t xml:space="preserve">Puntaje de 3 a 9. Con el puntaje máximo (9) las tres propiedades son Altas</t>
  </si>
  <si>
    <t xml:space="preserve">Criticidad Alta desde (puntaje CIA)</t>
  </si>
  <si>
    <t xml:space="preserve">Criticidad Media desde (puntaje CIA)</t>
  </si>
  <si>
    <t xml:space="preserve">Por debajo es Baja</t>
  </si>
  <si>
    <t xml:space="preserve">Nivel DREAD Alto desde (promedio)</t>
  </si>
  <si>
    <t xml:space="preserve">Promedio de los cinco factores, de 1 a 10</t>
  </si>
  <si>
    <t xml:space="preserve">Nivel DREAD Medio desde (promedio)</t>
  </si>
  <si>
    <t xml:space="preserve">Por debajo es Bajo</t>
  </si>
  <si>
    <t xml:space="preserve">Riesgo Crítico desde (probabilidad x impacto)</t>
  </si>
  <si>
    <t xml:space="preserve">Producto de 1 a 25</t>
  </si>
  <si>
    <t xml:space="preserve">Riesgo Alto desde (probabilidad x impacto)</t>
  </si>
  <si>
    <t xml:space="preserve">Riesgo Medio desde (probabilidad x impacto)</t>
  </si>
  <si>
    <t xml:space="preserve">Divisor para pasar de DREAD (1-10) a la escala 1-5</t>
  </si>
  <si>
    <t xml:space="preserve">Probabilidad = promedio(R, E, descubribilidad) / divisor. Impacto = promedio(daño, usuarios afectados) / divisor. Se redondea y se limita entre 1 y 5</t>
  </si>
  <si>
    <t xml:space="preserve">Definiciones</t>
  </si>
  <si>
    <t xml:space="preserve">Confidencialidad (C)</t>
  </si>
  <si>
    <t xml:space="preserve">A: su divulgación causa daño grave. M: daño limitado. B: sin daño relevante.</t>
  </si>
  <si>
    <t xml:space="preserve">Integridad (I)</t>
  </si>
  <si>
    <t xml:space="preserve">A: una alteración no detectada causa daño grave. M: daño limitado. B: sin daño relevante.</t>
  </si>
  <si>
    <t xml:space="preserve">Disponibilidad (D)</t>
  </si>
  <si>
    <t xml:space="preserve">A: su caída detiene el servicio. M: degrada el servicio. B: tolera una caída prolongada.</t>
  </si>
  <si>
    <t xml:space="preserve">Daño (D)</t>
  </si>
  <si>
    <t xml:space="preserve">1-3: molestia menor. 4-6: pérdida de datos o servicio acotada. 7-10: compromiso total o masivo.</t>
  </si>
  <si>
    <t xml:space="preserve">Reproducibilidad (R)</t>
  </si>
  <si>
    <t xml:space="preserve">1-3: casi imposible de repetir. 4-6: depende de condiciones. 7-10: se repite siempre.</t>
  </si>
  <si>
    <t xml:space="preserve">Explotabilidad (E)</t>
  </si>
  <si>
    <t xml:space="preserve">1-3: requiere habilidades y acceso avanzados. 4-6: requiere herramientas y algo de acceso. 7-10: cualquier persona con herramientas públicas.</t>
  </si>
  <si>
    <t xml:space="preserve">Usuarios afectados (A)</t>
  </si>
  <si>
    <t xml:space="preserve">1-3: una cuenta o pocos usuarios. 4-6: un grupo o rol. 7-10: todos los usuarios.</t>
  </si>
  <si>
    <t xml:space="preserve">Descubribilidad (D)</t>
  </si>
  <si>
    <t xml:space="preserve">1-3: oculto. 4-6: hay que investigar. 7-10: visible o fácil de encontrar.</t>
  </si>
  <si>
    <t xml:space="preserve">Probabilidad (1-5)</t>
  </si>
  <si>
    <t xml:space="preserve">1 Muy baja, 2 Baja, 3 Media, 4 Alta, 5 Muy alta.</t>
  </si>
  <si>
    <t xml:space="preserve">Impacto (1-5)</t>
  </si>
  <si>
    <t xml:space="preserve">1 Insignificante, 2 Menor, 3 Moderado, 4 Mayor, 5 Severo.</t>
  </si>
  <si>
    <t xml:space="preserve">Categorías STRIDE</t>
  </si>
  <si>
    <t xml:space="preserve">S Suplantación (Spoofing), T Manipulación (Tampering), R Repudio, I Divulgación de información, D Denegación de servicio, E Elevación de privilegios.</t>
  </si>
  <si>
    <t xml:space="preserve">Inventario de activos de información (ISO/IEC 27001)</t>
  </si>
  <si>
    <t xml:space="preserve">Campos obligatorios del enunciado. Tipo y ubicación con lista desplegable. C, I y D: A (Alta), M (Media), B (Baja).</t>
  </si>
  <si>
    <t xml:space="preserve">ID</t>
  </si>
  <si>
    <t xml:space="preserve">Nombre del activo</t>
  </si>
  <si>
    <t xml:space="preserve">Proceso asociado</t>
  </si>
  <si>
    <t xml:space="preserve">Descripción</t>
  </si>
  <si>
    <t xml:space="preserve">Tipo</t>
  </si>
  <si>
    <t xml:space="preserve">Ubicación</t>
  </si>
  <si>
    <t xml:space="preserve">Puntaje CIA</t>
  </si>
  <si>
    <t xml:space="preserve">Criticidad</t>
  </si>
  <si>
    <t xml:space="preserve">Justificación de la valoración</t>
  </si>
  <si>
    <t xml:space="preserve">Propietario</t>
  </si>
  <si>
    <t xml:space="preserve">Custodio</t>
  </si>
  <si>
    <t xml:space="preserve">Usuarios con acceso</t>
  </si>
  <si>
    <t xml:space="preserve">A-01</t>
  </si>
  <si>
    <t xml:space="preserve">Credenciales de usuarios (hashes argon2id)</t>
  </si>
  <si>
    <t xml:space="preserve">Autenticación</t>
  </si>
  <si>
    <t xml:space="preserve">Contraseñas de todos los usuarios, guardadas solo como hash argon2id.</t>
  </si>
  <si>
    <t xml:space="preserve">Información</t>
  </si>
  <si>
    <t xml:space="preserve">Local</t>
  </si>
  <si>
    <t xml:space="preserve">A</t>
  </si>
  <si>
    <t xml:space="preserve">M</t>
  </si>
  <si>
    <t xml:space="preserve">Su filtración permite ataques fuera de línea y su alteración permite tomar cuentas.</t>
  </si>
  <si>
    <t xml:space="preserve">Responsable del proyecto</t>
  </si>
  <si>
    <t xml:space="preserve">Administrador de base de datos</t>
  </si>
  <si>
    <t xml:space="preserve">Servicio de autenticación (API)</t>
  </si>
  <si>
    <t xml:space="preserve">A-02</t>
  </si>
  <si>
    <t xml:space="preserve">Datos personales de usuarios</t>
  </si>
  <si>
    <t xml:space="preserve">Registro y administración de usuarios</t>
  </si>
  <si>
    <t xml:space="preserve">Nombre, correo y rol de cada usuario.</t>
  </si>
  <si>
    <t xml:space="preserve">Datos personales de bajo volumen; el correo identifica a la persona.</t>
  </si>
  <si>
    <t xml:space="preserve">Administrador (listado), API</t>
  </si>
  <si>
    <t xml:space="preserve">A-03</t>
  </si>
  <si>
    <t xml:space="preserve">Contenido editorial (posts y borradores)</t>
  </si>
  <si>
    <t xml:space="preserve">Publicación de contenido</t>
  </si>
  <si>
    <t xml:space="preserve">Artículos en Markdown con su estado (borrador o publicado) y autoría.</t>
  </si>
  <si>
    <t xml:space="preserve">Los borradores son confidenciales y lo publicado debe ser íntegro por reputación.</t>
  </si>
  <si>
    <t xml:space="preserve">Editores</t>
  </si>
  <si>
    <t xml:space="preserve">Editores y administrador; lectura pública de lo publicado</t>
  </si>
  <si>
    <t xml:space="preserve">A-04</t>
  </si>
  <si>
    <t xml:space="preserve">Imágenes subidas</t>
  </si>
  <si>
    <t xml:space="preserve">Imágenes PNG, JPG o WEBP asociadas a los posts, con nombre UUID.</t>
  </si>
  <si>
    <t xml:space="preserve">B</t>
  </si>
  <si>
    <t xml:space="preserve">Son públicas por diseño; su integridad importa porque se muestran a los lectores.</t>
  </si>
  <si>
    <t xml:space="preserve">DevSecOps</t>
  </si>
  <si>
    <t xml:space="preserve">Editores (subida), público (lectura)</t>
  </si>
  <si>
    <t xml:space="preserve">A-05</t>
  </si>
  <si>
    <t xml:space="preserve">Semillas MFA (TOTP) cifradas</t>
  </si>
  <si>
    <t xml:space="preserve">Autenticación multifactor</t>
  </si>
  <si>
    <t xml:space="preserve">Semilla de cada usuario con MFA activo, cifrada con AES-256-GCM.</t>
  </si>
  <si>
    <t xml:space="preserve">Su filtración junto con la llave permite generar códigos válidos.</t>
  </si>
  <si>
    <t xml:space="preserve">A-06</t>
  </si>
  <si>
    <t xml:space="preserve">Registros de auditoría</t>
  </si>
  <si>
    <t xml:space="preserve">Auditoría y detección</t>
  </si>
  <si>
    <t xml:space="preserve">Eventos de escritura, accesos rechazados y fallos de MFA, con retención de 90 días.</t>
  </si>
  <si>
    <t xml:space="preserve">Es la evidencia forense; su alteración permite el repudio.</t>
  </si>
  <si>
    <t xml:space="preserve">Responsable de seguridad</t>
  </si>
  <si>
    <t xml:space="preserve">Administrador con MFA</t>
  </si>
  <si>
    <t xml:space="preserve">A-07</t>
  </si>
  <si>
    <t xml:space="preserve">Secretos de la aplicación</t>
  </si>
  <si>
    <t xml:space="preserve">Operación segura</t>
  </si>
  <si>
    <t xml:space="preserve">JWT_SECRET, MFA_ENC_KEY y claves de la base de datos (archivo .env; en la nube, Secrets Manager).</t>
  </si>
  <si>
    <t xml:space="preserve">Su filtración permite falsificar sesiones y descifrar semillas; su pérdida invalida el MFA.</t>
  </si>
  <si>
    <t xml:space="preserve">DevSecOps; contenedor de la API</t>
  </si>
  <si>
    <t xml:space="preserve">A-08</t>
  </si>
  <si>
    <t xml:space="preserve">Sesiones y tokens (cookies)</t>
  </si>
  <si>
    <t xml:space="preserve">Gestión de sesión</t>
  </si>
  <si>
    <t xml:space="preserve">Cookie JWT de 30 minutos y cookie temporal de verificación MFA de 5 minutos.</t>
  </si>
  <si>
    <t xml:space="preserve">Su robo equivale a suplantar al usuario mientras dure la sesión.</t>
  </si>
  <si>
    <t xml:space="preserve">Cada usuario</t>
  </si>
  <si>
    <t xml:space="preserve">Navegador del usuario; API</t>
  </si>
  <si>
    <t xml:space="preserve">A-09</t>
  </si>
  <si>
    <t xml:space="preserve">API (Node.js y Express)</t>
  </si>
  <si>
    <t xml:space="preserve">Lógica de negocio</t>
  </si>
  <si>
    <t xml:space="preserve">Código y ejecución del servidor: autenticación, roles, posts, imágenes y auditoría.</t>
  </si>
  <si>
    <t xml:space="preserve">Software</t>
  </si>
  <si>
    <t xml:space="preserve">Concentra todas las reglas de seguridad; si cae o se altera, cae todo el servicio.</t>
  </si>
  <si>
    <t xml:space="preserve">Frontend, WAF; administración por CI/CD</t>
  </si>
  <si>
    <t xml:space="preserve">A-10</t>
  </si>
  <si>
    <t xml:space="preserve">Frontend (React)</t>
  </si>
  <si>
    <t xml:space="preserve">Interfaz de usuario</t>
  </si>
  <si>
    <t xml:space="preserve">Aplicación web que consume la API y muestra el contenido.</t>
  </si>
  <si>
    <t xml:space="preserve">Es público; su integridad evita XSS y suplantación visual.</t>
  </si>
  <si>
    <t xml:space="preserve">Todos los usuarios</t>
  </si>
  <si>
    <t xml:space="preserve">A-11</t>
  </si>
  <si>
    <t xml:space="preserve">Dependencias de terceros (npm)</t>
  </si>
  <si>
    <t xml:space="preserve">Desarrollo</t>
  </si>
  <si>
    <t xml:space="preserve">Librerías de la API y del frontend, fijadas con package-lock.</t>
  </si>
  <si>
    <t xml:space="preserve">Repositorio</t>
  </si>
  <si>
    <t xml:space="preserve">Un componente comprometido ejecuta código con los privilegios de la aplicación.</t>
  </si>
  <si>
    <t xml:space="preserve">Desarrollador; CI/CD</t>
  </si>
  <si>
    <t xml:space="preserve">A-12</t>
  </si>
  <si>
    <t xml:space="preserve">Repositorio de código (GitHub)</t>
  </si>
  <si>
    <t xml:space="preserve">Desarrollo y versionado</t>
  </si>
  <si>
    <t xml:space="preserve">Código, historial, documentación y evidencias.</t>
  </si>
  <si>
    <t xml:space="preserve">Un cambio no autorizado llegaría a producción; el código es privado.</t>
  </si>
  <si>
    <t xml:space="preserve">Propietario del repositorio</t>
  </si>
  <si>
    <t xml:space="preserve">Desarrollador; Dependabot; Actions</t>
  </si>
  <si>
    <t xml:space="preserve">A-13</t>
  </si>
  <si>
    <t xml:space="preserve">Pipeline CI/CD (GitHub Actions)</t>
  </si>
  <si>
    <t xml:space="preserve">Verificación y despliegue</t>
  </si>
  <si>
    <t xml:space="preserve">Flujo de seguridad: Gitleaks, Semgrep, npm audit, Trivy y Checkov.</t>
  </si>
  <si>
    <t xml:space="preserve">Servicios</t>
  </si>
  <si>
    <t xml:space="preserve">Si se compromete, puede ocultar hallazgos o introducir código.</t>
  </si>
  <si>
    <t xml:space="preserve">Desarrollador</t>
  </si>
  <si>
    <t xml:space="preserve">A-14</t>
  </si>
  <si>
    <t xml:space="preserve">Base de datos MongoDB</t>
  </si>
  <si>
    <t xml:space="preserve">Persistencia</t>
  </si>
  <si>
    <t xml:space="preserve">Servicio de base de datos con usuario de aplicación de mínimo privilegio, en red interna. En la nube, DocumentDB.</t>
  </si>
  <si>
    <t xml:space="preserve">Guarda todos los datos del sistema; su pérdida o filtración es el peor escenario.</t>
  </si>
  <si>
    <t xml:space="preserve">Solo la API</t>
  </si>
  <si>
    <t xml:space="preserve">A-15</t>
  </si>
  <si>
    <t xml:space="preserve">WAF y proxy (ModSecurity, OWASP CRS y Nginx)</t>
  </si>
  <si>
    <t xml:space="preserve">Protección perimetral</t>
  </si>
  <si>
    <t xml:space="preserve">Punto único de entrada con TLS, reglas OWASP y cabeceras de seguridad. En la nube, AWS WAF y ALB.</t>
  </si>
  <si>
    <t xml:space="preserve">Si falla o se evade, la aplicación queda expuesta; si cae, no hay acceso.</t>
  </si>
  <si>
    <t xml:space="preserve">Todos los usuarios (tráfico)</t>
  </si>
  <si>
    <t xml:space="preserve">A-16</t>
  </si>
  <si>
    <t xml:space="preserve">Servicio de autenticación, roles y MFA</t>
  </si>
  <si>
    <t xml:space="preserve">Control de acceso</t>
  </si>
  <si>
    <t xml:space="preserve">Registro, inicio de sesión, roles, MFA TOTP y bloqueos.</t>
  </si>
  <si>
    <t xml:space="preserve">Es la barrera de acceso; su fallo expone todos los demás activos.</t>
  </si>
  <si>
    <t xml:space="preserve">A-17</t>
  </si>
  <si>
    <t xml:space="preserve">Plataforma de contenedores</t>
  </si>
  <si>
    <t xml:space="preserve">Despliegue</t>
  </si>
  <si>
    <t xml:space="preserve">Docker Compose con red interna, usuarios sin root y sistema de archivos de solo lectura. En la nube, ECS Fargate.</t>
  </si>
  <si>
    <t xml:space="preserve">Aísla los componentes y define lo expuesto a la red.</t>
  </si>
  <si>
    <t xml:space="preserve">A-18</t>
  </si>
  <si>
    <t xml:space="preserve">Imágenes de contenedor</t>
  </si>
  <si>
    <t xml:space="preserve">Imágenes de la API, del frontend, del WAF y de MongoDB.</t>
  </si>
  <si>
    <t xml:space="preserve">Una imagen con vulnerabilidades o alterada compromete el host.</t>
  </si>
  <si>
    <t xml:space="preserve">DevSecOps; CI/CD</t>
  </si>
  <si>
    <t xml:space="preserve">A-19</t>
  </si>
  <si>
    <t xml:space="preserve">Red y perímetro en la nube (diseño)</t>
  </si>
  <si>
    <t xml:space="preserve">Conectividad</t>
  </si>
  <si>
    <t xml:space="preserve">VPC con subredes pública, privada y de datos, grupos de seguridad y balanceador. Solo diseño.</t>
  </si>
  <si>
    <t xml:space="preserve">Cloud</t>
  </si>
  <si>
    <t xml:space="preserve">Una regla abierta de más expone la base de datos o la aplicación.</t>
  </si>
  <si>
    <t xml:space="preserve">A-20</t>
  </si>
  <si>
    <t xml:space="preserve">Código de infraestructura (Terraform y Dockerfiles)</t>
  </si>
  <si>
    <t xml:space="preserve">Definición de la infraestructura, revisada con Checkov.</t>
  </si>
  <si>
    <t xml:space="preserve">Un error se replica en cada despliegue.</t>
  </si>
  <si>
    <t xml:space="preserve">A-21</t>
  </si>
  <si>
    <t xml:space="preserve">Cuenta de administrador</t>
  </si>
  <si>
    <t xml:space="preserve">Administración</t>
  </si>
  <si>
    <t xml:space="preserve">Cuenta con control total del CMS, protegida con MFA obligatorio.</t>
  </si>
  <si>
    <t xml:space="preserve">Personal</t>
  </si>
  <si>
    <t xml:space="preserve">Su compromiso otorga control total sobre usuarios, contenido y auditoría.</t>
  </si>
  <si>
    <t xml:space="preserve">Administrador</t>
  </si>
  <si>
    <t xml:space="preserve">A-22</t>
  </si>
  <si>
    <t xml:space="preserve">Equipo de desarrollo y teléfono con la app autenticadora</t>
  </si>
  <si>
    <t xml:space="preserve">Desarrollo y segundo factor</t>
  </si>
  <si>
    <t xml:space="preserve">Computadora del desarrollador y teléfono con Microsoft Authenticator.</t>
  </si>
  <si>
    <t xml:space="preserve">Físico</t>
  </si>
  <si>
    <t xml:space="preserve">Dispositivo móvil</t>
  </si>
  <si>
    <t xml:space="preserve">Contienen secretos locales y el segundo factor del administrador.</t>
  </si>
  <si>
    <t xml:space="preserve">A-23</t>
  </si>
  <si>
    <t xml:space="preserve">Proveedor de nube (diseño)</t>
  </si>
  <si>
    <t xml:space="preserve">Hospedaje</t>
  </si>
  <si>
    <t xml:space="preserve">Infraestructura física y servicios administrados de AWS bajo responsabilidad compartida.</t>
  </si>
  <si>
    <t xml:space="preserve">Empresa</t>
  </si>
  <si>
    <t xml:space="preserve">La seguridad física y de la plataforma se delega al proveedor (certificaciones SOC 2 e ISO 27001).</t>
  </si>
  <si>
    <t xml:space="preserve">Proveedor de nube</t>
  </si>
  <si>
    <t xml:space="preserve">A-24</t>
  </si>
  <si>
    <t xml:space="preserve">Reputación y confianza en el sitio publicado</t>
  </si>
  <si>
    <t xml:space="preserve">Imagen institucional</t>
  </si>
  <si>
    <t xml:space="preserve">Confianza de los lectores en el contenido y en la protección de sus datos.</t>
  </si>
  <si>
    <t xml:space="preserve">Un defacement o una filtración dañaría la credibilidad del sitio.</t>
  </si>
  <si>
    <t xml:space="preserve">No aplica</t>
  </si>
  <si>
    <t xml:space="preserve">Resumen de criticidad</t>
  </si>
  <si>
    <t xml:space="preserve">Crítica</t>
  </si>
  <si>
    <t xml:space="preserve">Alta</t>
  </si>
  <si>
    <t xml:space="preserve">Media</t>
  </si>
  <si>
    <t xml:space="preserve">Baja</t>
  </si>
  <si>
    <t xml:space="preserve">Total</t>
  </si>
  <si>
    <t xml:space="preserve">Modelado de amenazas con STRIDE</t>
  </si>
  <si>
    <t xml:space="preserve">Una X marca las categorías de cada amenaza. S Suplantación, T Manipulación, R Repudio, I Divulgación de información, D Denegación de servicio, E Elevación de privilegios.</t>
  </si>
  <si>
    <t xml:space="preserve">Amenaza</t>
  </si>
  <si>
    <t xml:space="preserve">Activos afectados</t>
  </si>
  <si>
    <t xml:space="preserve">S</t>
  </si>
  <si>
    <t xml:space="preserve">T</t>
  </si>
  <si>
    <t xml:space="preserve">R</t>
  </si>
  <si>
    <t xml:space="preserve">I</t>
  </si>
  <si>
    <t xml:space="preserve">D</t>
  </si>
  <si>
    <t xml:space="preserve">E</t>
  </si>
  <si>
    <t xml:space="preserve">Vector de ataque</t>
  </si>
  <si>
    <t xml:space="preserve">T-01</t>
  </si>
  <si>
    <t xml:space="preserve">Adivinación o robo de contraseñas (fuerza bruta y credential stuffing)</t>
  </si>
  <si>
    <t xml:space="preserve">A-01, A-16</t>
  </si>
  <si>
    <t xml:space="preserve">X</t>
  </si>
  <si>
    <t xml:space="preserve">Intentos automáticos de inicio de sesión con listas de contraseñas filtradas.</t>
  </si>
  <si>
    <t xml:space="preserve">T-02</t>
  </si>
  <si>
    <t xml:space="preserve">Fuerza bruta del segundo factor (código TOTP de 6 dígitos)</t>
  </si>
  <si>
    <t xml:space="preserve">A-16, A-05</t>
  </si>
  <si>
    <t xml:space="preserve">Probar códigos con la contraseña ya conocida.</t>
  </si>
  <si>
    <t xml:space="preserve">T-03</t>
  </si>
  <si>
    <t xml:space="preserve">Reutilización (replay) de un código TOTP interceptado</t>
  </si>
  <si>
    <t xml:space="preserve">Presentar de nuevo un código observado.</t>
  </si>
  <si>
    <t xml:space="preserve">T-04</t>
  </si>
  <si>
    <t xml:space="preserve">Robo de sesión por XSS (cookie accesible por JavaScript)</t>
  </si>
  <si>
    <t xml:space="preserve">A-08, A-10</t>
  </si>
  <si>
    <t xml:space="preserve">Script inyectado que lee la cookie y la envía a un atacante.</t>
  </si>
  <si>
    <t xml:space="preserve">T-05</t>
  </si>
  <si>
    <t xml:space="preserve">XSS almacenado en el contenido Markdown</t>
  </si>
  <si>
    <t xml:space="preserve">A-03, A-10</t>
  </si>
  <si>
    <t xml:space="preserve">Un editor o atacante guarda HTML o enlaces javascript: que se ejecutan al leerlo.</t>
  </si>
  <si>
    <t xml:space="preserve">T-06</t>
  </si>
  <si>
    <t xml:space="preserve">Inyección NoSQL en inicio de sesión y consultas</t>
  </si>
  <si>
    <t xml:space="preserve">A-14, A-16</t>
  </si>
  <si>
    <t xml:space="preserve">Operadores como $ne en el cuerpo o en la URL para saltar la autenticación.</t>
  </si>
  <si>
    <t xml:space="preserve">T-07</t>
  </si>
  <si>
    <t xml:space="preserve">Acceso a recursos ajenos (IDOR o BOLA en posts e imágenes)</t>
  </si>
  <si>
    <t xml:space="preserve">A-03, A-04</t>
  </si>
  <si>
    <t xml:space="preserve">Cambiar el identificador en la URL para leer, editar o borrar lo de otro usuario.</t>
  </si>
  <si>
    <t xml:space="preserve">T-08</t>
  </si>
  <si>
    <t xml:space="preserve">Escalada de privilegios a administrador (asignación masiva o rol manipulado)</t>
  </si>
  <si>
    <t xml:space="preserve">A-16, A-01</t>
  </si>
  <si>
    <t xml:space="preserve">Enviar el campo role al registrarse o forzar un cambio de rol.</t>
  </si>
  <si>
    <t xml:space="preserve">T-09</t>
  </si>
  <si>
    <t xml:space="preserve">Subida de archivos maliciosos (SVG con script, políglotas)</t>
  </si>
  <si>
    <t xml:space="preserve">A-04, A-09</t>
  </si>
  <si>
    <t xml:space="preserve">Subir un archivo disfrazado de imagen para ejecutar código o servir contenido activo.</t>
  </si>
  <si>
    <t xml:space="preserve">T-10</t>
  </si>
  <si>
    <t xml:space="preserve">Path traversal al descargar imágenes</t>
  </si>
  <si>
    <t xml:space="preserve">Nombres de archivo con ../ para leer archivos del servidor.</t>
  </si>
  <si>
    <t xml:space="preserve">T-11</t>
  </si>
  <si>
    <t xml:space="preserve">Enumeración de usuarios por el mensaje de correo ya registrado</t>
  </si>
  <si>
    <t xml:space="preserve">Registrar correos para saber cuáles existen.</t>
  </si>
  <si>
    <t xml:space="preserve">T-12</t>
  </si>
  <si>
    <t xml:space="preserve">Fuga de secretos en el repositorio o su historial</t>
  </si>
  <si>
    <t xml:space="preserve">A-07, A-12</t>
  </si>
  <si>
    <t xml:space="preserve">Subir por error un .env o claves al código.</t>
  </si>
  <si>
    <t xml:space="preserve">T-13</t>
  </si>
  <si>
    <t xml:space="preserve">Fuga de la base de datos con hashes y semillas MFA</t>
  </si>
  <si>
    <t xml:space="preserve">A-05, A-01, A-14</t>
  </si>
  <si>
    <t xml:space="preserve">Acceso indebido a los datos almacenados.</t>
  </si>
  <si>
    <t xml:space="preserve">T-14</t>
  </si>
  <si>
    <t xml:space="preserve">Acciones sin trazabilidad (repudio)</t>
  </si>
  <si>
    <t xml:space="preserve">A-06, A-16</t>
  </si>
  <si>
    <t xml:space="preserve">Un usuario niega haber hecho una acción y no hay evidencia.</t>
  </si>
  <si>
    <t xml:space="preserve">T-15</t>
  </si>
  <si>
    <t xml:space="preserve">Alteración o borrado de los registros de auditoría</t>
  </si>
  <si>
    <t xml:space="preserve">Un atacante con acceso a la aplicación borra sus huellas.</t>
  </si>
  <si>
    <t xml:space="preserve">T-16</t>
  </si>
  <si>
    <t xml:space="preserve">Denegación de servicio por volumen de peticiones</t>
  </si>
  <si>
    <t xml:space="preserve">A-15, A-09, A-14</t>
  </si>
  <si>
    <t xml:space="preserve">Inundar la aplicación con peticiones o cuerpos grandes.</t>
  </si>
  <si>
    <t xml:space="preserve">T-17</t>
  </si>
  <si>
    <t xml:space="preserve">Bloqueo intencional de una cuenta ajena (abuso del bloqueo de MFA)</t>
  </si>
  <si>
    <t xml:space="preserve">A-16, A-21</t>
  </si>
  <si>
    <t xml:space="preserve">Fallar el código a propósito para bloquear al administrador.</t>
  </si>
  <si>
    <t xml:space="preserve">T-18</t>
  </si>
  <si>
    <t xml:space="preserve">Dependencias de terceros vulnerables o comprometidas</t>
  </si>
  <si>
    <t xml:space="preserve">Una librería con una vulnerabilidad conocida o un paquete malicioso.</t>
  </si>
  <si>
    <t xml:space="preserve">T-19</t>
  </si>
  <si>
    <t xml:space="preserve">Imágenes de contenedor con vulnerabilidades conocidas</t>
  </si>
  <si>
    <t xml:space="preserve">A-18, A-17</t>
  </si>
  <si>
    <t xml:space="preserve">Explotar un paquete desactualizado de la imagen base.</t>
  </si>
  <si>
    <t xml:space="preserve">T-20</t>
  </si>
  <si>
    <t xml:space="preserve">Compromiso del pipeline CI/CD o de acciones de terceros</t>
  </si>
  <si>
    <t xml:space="preserve">A-13, A-12</t>
  </si>
  <si>
    <t xml:space="preserve">Una acción comprometida o credenciales robadas alteran el flujo.</t>
  </si>
  <si>
    <t xml:space="preserve">T-21</t>
  </si>
  <si>
    <t xml:space="preserve">Exposición directa de la base de datos o de la API a la red</t>
  </si>
  <si>
    <t xml:space="preserve">A-14, A-17</t>
  </si>
  <si>
    <t xml:space="preserve">Conectarse a los puertos de MongoDB o de la API desde fuera.</t>
  </si>
  <si>
    <t xml:space="preserve">T-22</t>
  </si>
  <si>
    <t xml:space="preserve">Escape de contenedor o ejecución como root</t>
  </si>
  <si>
    <t xml:space="preserve">A-17, A-18</t>
  </si>
  <si>
    <t xml:space="preserve">Aprovechar un fallo para salir del contenedor o escalar dentro de él.</t>
  </si>
  <si>
    <t xml:space="preserve">T-23</t>
  </si>
  <si>
    <t xml:space="preserve">Interceptación del tráfico (hombre en el medio)</t>
  </si>
  <si>
    <t xml:space="preserve">A-08, A-19</t>
  </si>
  <si>
    <t xml:space="preserve">Capturar el tráfico entre navegador y servidor.</t>
  </si>
  <si>
    <t xml:space="preserve">T-24</t>
  </si>
  <si>
    <t xml:space="preserve">Configuración insegura de la nube (recursos públicos, permisos amplios)</t>
  </si>
  <si>
    <t xml:space="preserve">A-19, A-20</t>
  </si>
  <si>
    <t xml:space="preserve">Un bucket o puerto abierto por error en la infraestructura.</t>
  </si>
  <si>
    <t xml:space="preserve">T-25</t>
  </si>
  <si>
    <t xml:space="preserve">Pérdida de datos por falla o corrupción de la base (sin respaldo automático)</t>
  </si>
  <si>
    <t xml:space="preserve">A-14, A-03</t>
  </si>
  <si>
    <t xml:space="preserve">Fallo del disco, borrado accidental o corrupción.</t>
  </si>
  <si>
    <t xml:space="preserve">T-26</t>
  </si>
  <si>
    <t xml:space="preserve">Pérdida o robo del dispositivo con el segundo factor del administrador</t>
  </si>
  <si>
    <t xml:space="preserve">A-21, A-22</t>
  </si>
  <si>
    <t xml:space="preserve">Perder el teléfono con la app autenticadora.</t>
  </si>
  <si>
    <t xml:space="preserve">T-27</t>
  </si>
  <si>
    <t xml:space="preserve">Phishing con proxy en tiempo real que captura el código TOTP</t>
  </si>
  <si>
    <t xml:space="preserve">Una página falsa reenvía las credenciales y el código al sitio real.</t>
  </si>
  <si>
    <t xml:space="preserve">T-28</t>
  </si>
  <si>
    <t xml:space="preserve">Ataques desde el navegador: CSRF y clickjacking</t>
  </si>
  <si>
    <t xml:space="preserve">Acciones forzadas desde otro sitio o la página incrustada en un marco.</t>
  </si>
  <si>
    <t xml:space="preserve">T-29</t>
  </si>
  <si>
    <t xml:space="preserve">Fuga de la IP o datos del lector por imágenes externas en un post</t>
  </si>
  <si>
    <t xml:space="preserve">Un post con imágenes alojadas en un servidor del atacante.</t>
  </si>
  <si>
    <t xml:space="preserve">Amenazas por categoría</t>
  </si>
  <si>
    <t xml:space="preserve">Puntaje DREAD por amenaza (sin considerar los controles)</t>
  </si>
  <si>
    <t xml:space="preserve">Cada factor de 1 a 10 (ver definiciones en Escalas). Los puntajes en azul se pueden ajustar; el promedio y el nivel se recalculan.</t>
  </si>
  <si>
    <t xml:space="preserve">Promedio</t>
  </si>
  <si>
    <t xml:space="preserve">Nivel</t>
  </si>
  <si>
    <t xml:space="preserve">Justificación</t>
  </si>
  <si>
    <t xml:space="preserve">Sin límites ni MFA cualquier cuenta con clave débil cae, y el ataque se repite sin esfuerzo.</t>
  </si>
  <si>
    <t xml:space="preserve">Daño alto si es el administrador, pero exige la contraseña y afecta una cuenta.</t>
  </si>
  <si>
    <t xml:space="preserve">Ventana corta y requiere haber interceptado el código.</t>
  </si>
  <si>
    <t xml:space="preserve">Permite suplantar a cualquier usuario que vea el contenido.</t>
  </si>
  <si>
    <t xml:space="preserve">Se repite siempre, usa herramientas conocidas y afecta a todos los lectores.</t>
  </si>
  <si>
    <t xml:space="preserve">Puede omitir la autenticación y leer datos de todos.</t>
  </si>
  <si>
    <t xml:space="preserve">Es trivial de intentar y afecta a los usuarios con contenido propio.</t>
  </si>
  <si>
    <t xml:space="preserve">Otorga control total del sistema a cualquiera que lo consiga.</t>
  </si>
  <si>
    <t xml:space="preserve">Es repetible y, si el archivo se ejecuta, afecta a todos los lectores.</t>
  </si>
  <si>
    <t xml:space="preserve">Permitiría leer archivos del sistema, pero el vector es poco visible.</t>
  </si>
  <si>
    <t xml:space="preserve">Fácil y repetible, con daño bajo; solo revela existencia de cuentas.</t>
  </si>
  <si>
    <t xml:space="preserve">Una clave filtrada compromete toda la aplicación.</t>
  </si>
  <si>
    <t xml:space="preserve">Afecta a todos los usuarios, pero exige un acceso previo.</t>
  </si>
  <si>
    <t xml:space="preserve">Complica la investigación de incidentes, sin daño directo.</t>
  </si>
  <si>
    <t xml:space="preserve">Anula la evidencia, pero requiere comprometer la aplicación o la base.</t>
  </si>
  <si>
    <t xml:space="preserve">Es fácil de lanzar, repetible y deja sin servicio a todos.</t>
  </si>
  <si>
    <t xml:space="preserve">Afecta a una cuenta por 15 minutos.</t>
  </si>
  <si>
    <t xml:space="preserve">Ejecuta código con los privilegios de la aplicación y alcanza a todos.</t>
  </si>
  <si>
    <t xml:space="preserve">Se descubre con escáneres públicos y compromete el contenedor.</t>
  </si>
  <si>
    <t xml:space="preserve">Impacto alto pero poco probable y difícil de explotar.</t>
  </si>
  <si>
    <t xml:space="preserve">Sin aislamiento es el camino más corto al robo total de datos.</t>
  </si>
  <si>
    <t xml:space="preserve">Impacto total pero con alta dificultad.</t>
  </si>
  <si>
    <t xml:space="preserve">Expone credenciales y sesiones si el tráfico va sin cifrar.</t>
  </si>
  <si>
    <t xml:space="preserve">Un solo recurso mal configurado expone datos.</t>
  </si>
  <si>
    <t xml:space="preserve">Daño máximo, aunque no es un ataque y tiene baja probabilidad de ocurrir.</t>
  </si>
  <si>
    <t xml:space="preserve">Afecta a una cuenta y exige además la contraseña.</t>
  </si>
  <si>
    <t xml:space="preserve">TOTP no resiste este ataque; afecta a quien caiga en el engaño.</t>
  </si>
  <si>
    <t xml:space="preserve">Requiere que la víctima tenga sesión activa.</t>
  </si>
  <si>
    <t xml:space="preserve">Revela la IP del lector, con daño bajo.</t>
  </si>
  <si>
    <t xml:space="preserve">Amenazas por nivel DREAD</t>
  </si>
  <si>
    <t xml:space="preserve">Cantidad</t>
  </si>
  <si>
    <t xml:space="preserve">Alto</t>
  </si>
  <si>
    <t xml:space="preserve">Medio</t>
  </si>
  <si>
    <t xml:space="preserve">Bajo</t>
  </si>
  <si>
    <t xml:space="preserve">Matriz de riesgos: inicial (inherente) y residual</t>
  </si>
  <si>
    <t xml:space="preserve">Probabilidad e impacto iniciales se calculan desde DREAD. Las celdas amarillas son el residual y el tratamiento propuestos en la etapa 13 con base en las pruebas; revisalos y ajustalos.</t>
  </si>
  <si>
    <t xml:space="preserve">Tipo de riesgo</t>
  </si>
  <si>
    <t xml:space="preserve">Impacto principal</t>
  </si>
  <si>
    <t xml:space="preserve">Probabilidad inicial (1-5)</t>
  </si>
  <si>
    <t xml:space="preserve">Impacto inicial (1-5)</t>
  </si>
  <si>
    <t xml:space="preserve">Riesgo inicial</t>
  </si>
  <si>
    <t xml:space="preserve">Nivel inicial</t>
  </si>
  <si>
    <t xml:space="preserve">Controles implementados</t>
  </si>
  <si>
    <t xml:space="preserve">Evidencia</t>
  </si>
  <si>
    <t xml:space="preserve">Probabilidad residual (1-5)</t>
  </si>
  <si>
    <t xml:space="preserve">Impacto residual (1-5)</t>
  </si>
  <si>
    <t xml:space="preserve">Riesgo residual</t>
  </si>
  <si>
    <t xml:space="preserve">Nivel residual</t>
  </si>
  <si>
    <t xml:space="preserve">Tratamiento</t>
  </si>
  <si>
    <t xml:space="preserve">Acción y justificación del tratamiento</t>
  </si>
  <si>
    <t xml:space="preserve">Estado</t>
  </si>
  <si>
    <t xml:space="preserve">Seguridad</t>
  </si>
  <si>
    <t xml:space="preserve">Reputacional</t>
  </si>
  <si>
    <t xml:space="preserve">Argon2id; clave de 10 o más caracteres; límite de 5 intentos fallidos cada 15 minutos; MFA TOTP; respuesta uniforme con hash falso para igualar tiempos.</t>
  </si>
  <si>
    <t xml:space="preserve">Fase 2, prueba 11 (429); etapa 7B; auditoría de intentos.</t>
  </si>
  <si>
    <t xml:space="preserve">Mitigar</t>
  </si>
  <si>
    <t xml:space="preserve">Argon2id, límite de 5 fallos por 15 min, MFA en admin y, desde v1.1, rechazo de contraseñas comunes. Quedan las claves reutilizadas de otros sitios.</t>
  </si>
  <si>
    <t xml:space="preserve">Implementado</t>
  </si>
  <si>
    <t xml:space="preserve">Operacional</t>
  </si>
  <si>
    <t xml:space="preserve">Límite de 5 intentos por IP; bloqueo de la cuenta 15 minutos tras 5 fallos (contador atómico); token temporal de 5 minutos.</t>
  </si>
  <si>
    <t xml:space="preserve">Etapa 7B: 5 respuestas 401 y luego 429; auditoría.</t>
  </si>
  <si>
    <t xml:space="preserve">Bloqueo de la cuenta por 15 min tras 5 fallos y límite por IP.</t>
  </si>
  <si>
    <t xml:space="preserve">Rechazo del mismo código durante 90 segundos.</t>
  </si>
  <si>
    <t xml:space="preserve">Etapa 7B: el segundo uso responde Código inválido.</t>
  </si>
  <si>
    <t xml:space="preserve">El mismo código se rechaza durante 90 segundos.</t>
  </si>
  <si>
    <t xml:space="preserve">Cookie HttpOnly, Secure y SameSite Strict; sin localStorage; CSP estricta; WAF.</t>
  </si>
  <si>
    <t xml:space="preserve">Fase 4: document.cookie vacío; captura de la cookie.</t>
  </si>
  <si>
    <t xml:space="preserve">Cookie HttpOnly, Secure y SameSite Strict, CSP estricta y, desde v1.1, revocación del token al cerrar sesión (H-05).</t>
  </si>
  <si>
    <t xml:space="preserve">react-markdown sin HTML crudo; neutraliza URL javascript:; CSP; WAF (reglas XSS); enlaces con noopener.</t>
  </si>
  <si>
    <t xml:space="preserve">Fase 4: post Prueba XSS sin alert; WAF 403 (etapa 8B).</t>
  </si>
  <si>
    <t xml:space="preserve">Markdown sin HTML crudo, CSP y reglas XSS del WAF; prueba con post malicioso sin ejecución.</t>
  </si>
  <si>
    <t xml:space="preserve">Legal</t>
  </si>
  <si>
    <t xml:space="preserve">Validación Zod estricta; sanitizeFilter de Mongoose; identificadores validados; WAF (regla 942290).</t>
  </si>
  <si>
    <t xml:space="preserve">Etapa 8B, prueba 8 (403); Fase 2, validaciones.</t>
  </si>
  <si>
    <t xml:space="preserve">Zod estricto, sanitizeFilter y WAF (403 en la prueba). El impacto sigue severo si algo fallara.</t>
  </si>
  <si>
    <t xml:space="preserve">Verificación de dueño en cada operación; identificadores validados; respuesta 403 y registro.</t>
  </si>
  <si>
    <t xml:space="preserve">Fase 3, pruebas 7 a 9; Fase 6, prueba 10.</t>
  </si>
  <si>
    <t xml:space="preserve">Control de dueño en cada operación; 41 de 41 pruebas de autorización en OK.</t>
  </si>
  <si>
    <t xml:space="preserve">Esquemas estrictos que rechazan role; rol leído de la base en cada petición; cambio de rol solo por admin y nunca el propio; MFA obligatorio para admin.</t>
  </si>
  <si>
    <t xml:space="preserve">Fase 2, prueba 3 (400); Fase 5, pruebas 1 a 7; etapa 7B.</t>
  </si>
  <si>
    <t xml:space="preserve">Esquemas estrictos, rol leído de la base, MFA obligatorio para admin y token firmado; pruebas S-03 a S-05 y Z-09 en OK.</t>
  </si>
  <si>
    <t xml:space="preserve">Validación por contenido (file-type); solo PNG, JPG y WEBP; 2 MB; nombre UUID; nosniff y CSP sandbox; límite de 20 subidas por hora; solo editor o admin.</t>
  </si>
  <si>
    <t xml:space="preserve">Fase 6, pruebas 4 a 8 (415, 413, 400).</t>
  </si>
  <si>
    <t xml:space="preserve">Validación por contenido, solo PNG, JPG y WEBP, 2 MB y nombre UUID; pruebas U-01 a U-04 en OK.</t>
  </si>
  <si>
    <t xml:space="preserve">Expresión regular de UUID con extensión permitida; carpeta raíz fija; dotfiles denegados.</t>
  </si>
  <si>
    <t xml:space="preserve">Fase 6, prueba 9 (404); Semgrep: falso positivo justificado.</t>
  </si>
  <si>
    <t xml:space="preserve">Nombre validado con expresión regular y carpeta raíz fija; Semgrep lo marca como falso positivo justificado.</t>
  </si>
  <si>
    <t xml:space="preserve">Límite de 10 registros por hora por IP. Riesgo aceptado.</t>
  </si>
  <si>
    <t xml:space="preserve">Hallazgo de la Fase 2.</t>
  </si>
  <si>
    <t xml:space="preserve">Aceptar</t>
  </si>
  <si>
    <t xml:space="preserve">Costo de cambiar el mensaje (se pierde información útil al usuario) mayor que el daño; se limita a 10 registros por hora por IP.</t>
  </si>
  <si>
    <t xml:space="preserve">Aceptado</t>
  </si>
  <si>
    <t xml:space="preserve">Financiero</t>
  </si>
  <si>
    <t xml:space="preserve">.gitignore; .env.example sin valores; secretos generados al azar; Gitleaks en CI; en la nube, Secrets Manager.</t>
  </si>
  <si>
    <t xml:space="preserve">Gitleaks: 32 commits revisados, sin fugas.</t>
  </si>
  <si>
    <t xml:space="preserve">.gitignore, secretos generados al azar y Gitleaks en CI; 35 commits sin fugas reales.</t>
  </si>
  <si>
    <t xml:space="preserve">Técnico</t>
  </si>
  <si>
    <t xml:space="preserve">Hashes argon2id; semilla cifrada AES-256-GCM con llave fuera de la base; base sin puertos publicados; usuario de mínimo privilegio.</t>
  </si>
  <si>
    <t xml:space="preserve">Fase 8A (puertos); etapa 7B (cifrado).</t>
  </si>
  <si>
    <t xml:space="preserve">Hashes argon2id, semilla cifrada con llave fuera de la base y base sin puertos publicados.</t>
  </si>
  <si>
    <t xml:space="preserve">Auditoría persistente de todas las escrituras y accesos rechazados, atribuida al usuario; logs estructurados.</t>
  </si>
  <si>
    <t xml:space="preserve">Etapa 7A, pruebas de auditoría.</t>
  </si>
  <si>
    <t xml:space="preserve">Auditoría persistente de escrituras y accesos rechazados, atribuida al usuario.</t>
  </si>
  <si>
    <t xml:space="preserve">Consulta solo para admin con MFA; usuario sin privilegios de administración. Residual: la aplicación puede escribir en la colección.</t>
  </si>
  <si>
    <t xml:space="preserve">Etapa 7A; hallazgo de repudio.</t>
  </si>
  <si>
    <t xml:space="preserve">Hoy la auditoría vive en la misma base. Se envían los eventos a un SIEM externo (ver docs/siem-rasp.md).</t>
  </si>
  <si>
    <t xml:space="preserve">Planificado</t>
  </si>
  <si>
    <t xml:space="preserve">WAF; límites de la API (inicio de sesión, registro, subidas y MFA); límites de tamaño; límites de memoria y procesos; en la nube, regla de tasa de AWS WAF.</t>
  </si>
  <si>
    <t xml:space="preserve">Etapa 8B (WAF); Terraform con WAF regional.</t>
  </si>
  <si>
    <t xml:space="preserve">WAF, límite general de 120 peticiones por minuto por IP (desde v1.1) y límites por ruta. Lo volumétrico de red se delegaría a AWS Shield Standard en la nube.</t>
  </si>
  <si>
    <t xml:space="preserve">Bloqueo temporal de 15 minutos; registro en auditoría. Riesgo aceptado.</t>
  </si>
  <si>
    <t xml:space="preserve">Etapa 7B.</t>
  </si>
  <si>
    <t xml:space="preserve">Daño de 15 minutos sobre una cuenta; el bloqueo es el propio control contra la fuerza bruta.</t>
  </si>
  <si>
    <t xml:space="preserve">npm audit en CI; Dependabot semanal; package-lock y npm ci; dependencias mínimas (se eliminó una por una vulnerabilidad).</t>
  </si>
  <si>
    <t xml:space="preserve">CI: 0 vulnerabilidades HIGH; fase 4.</t>
  </si>
  <si>
    <t xml:space="preserve">npm audit y Trivy bloqueantes en CI y Dependabot semanal; el CI detectó y se corrigió el H-09. Queda el riesgo de un día cero.</t>
  </si>
  <si>
    <t xml:space="preserve">Trivy bloqueante en CI; apt y apk upgrade; sin npm en la imagen final; construcción en dos etapas.</t>
  </si>
  <si>
    <t xml:space="preserve">Etapa 8B (3 CRITICAL y 11 HIGH a 0); CI: libtiff detectado y corregido.</t>
  </si>
  <si>
    <t xml:space="preserve">Trivy bloqueante para las imágenes propias; las de terceros (MongoDB y WAF) se aceptan por no estar expuestas.</t>
  </si>
  <si>
    <t xml:space="preserve">Permisos contents:read; sin credenciales guardadas; solo acciones oficiales; runner fijado. Residual: versiones por etiqueta y sin protección de rama.</t>
  </si>
  <si>
    <t xml:space="preserve">Etapa 10.</t>
  </si>
  <si>
    <t xml:space="preserve">Permisos mínimos y solo acciones oficiales. Pendiente: fijar acciones por hash y exigir revisión en la rama principal.</t>
  </si>
  <si>
    <t xml:space="preserve">Red interna sin puertos publicados; solo el WAF escucha (127.0.0.1:8443); autenticación en MongoDB.</t>
  </si>
  <si>
    <t xml:space="preserve">Fase 8A: la API desde el host da 000; docker compose ps.</t>
  </si>
  <si>
    <t xml:space="preserve">Eliminar</t>
  </si>
  <si>
    <t xml:space="preserve">Se eliminó la exposición: la base y la API no publican puertos; solo el WAF escucha en 127.0.0.1:8443 (Nmap lo confirma).</t>
  </si>
  <si>
    <t xml:space="preserve">Usuarios sin root; sistema de archivos de solo lectura; cap_drop ALL; no-new-privileges; límites de recursos. Residual: WAF y MongoDB no usan solo lectura.</t>
  </si>
  <si>
    <t xml:space="preserve">Fase 8A: id, touch y CapEff.</t>
  </si>
  <si>
    <t xml:space="preserve">Usuarios sin root, sistema de solo lectura, cap_drop ALL y no-new-privileges en la API y el frontend.</t>
  </si>
  <si>
    <t xml:space="preserve">TLS 1.3 en el WAF; HSTS; cookie Secure; en la nube, ALB con TLS 1.3. Residual: certificado autofirmado local y HTTP interno.</t>
  </si>
  <si>
    <t xml:space="preserve">Etapa 8B.</t>
  </si>
  <si>
    <t xml:space="preserve">TLS 1.3 exclusivo y HSTS desde v1.1. Residual: certificado autofirmado local y HTTP interno entre contenedores.</t>
  </si>
  <si>
    <t xml:space="preserve">Terraform revisado con Checkov (249 pruebas pasadas, 0 fallidas, 7 aceptadas); S3 privado y cifrado; grupos de seguridad por referencia; IAM de menor privilegio.</t>
  </si>
  <si>
    <t xml:space="preserve">Etapa 9 (checkov-terraform-4).</t>
  </si>
  <si>
    <t xml:space="preserve">Terraform con Checkov en 249 pruebas pasadas, 0 fallidas y 7 aceptadas; no se desplegó.</t>
  </si>
  <si>
    <t xml:space="preserve">Diseñado</t>
  </si>
  <si>
    <t xml:space="preserve">Volumen persistente en Docker y respaldo diario con mongodump (script backup/respaldo.ps1, retención de 14 días) con prueba de restauración. Diseño cloud: respaldos de 14 días y protección contra borrado.</t>
  </si>
  <si>
    <t xml:space="preserve">Fase 8A (persistencia); docs/evidencias/respaldo-restauracion.txt (116 documentos restaurados, 0 fallos); Terraform.</t>
  </si>
  <si>
    <t xml:space="preserve">Respaldo diario programado con retención de 14 días y restauración verificada en bases temporales. Residual: el respaldo está en el mismo equipo (convendría una copia externa) y depende de que la PC esté encendida.</t>
  </si>
  <si>
    <t xml:space="preserve">Humano</t>
  </si>
  <si>
    <t xml:space="preserve">Contraseña obligatoria además del código; reinicio del MFA por script. Residual: no hay códigos de recuperación.</t>
  </si>
  <si>
    <t xml:space="preserve">Reinicio del MFA por script documentado; sin códigos de recuperación para no ampliar la superficie.</t>
  </si>
  <si>
    <t xml:space="preserve">HSTS y dominio propio. Residual: TOTP es vulnerable; se recomienda WebAuthn o passkeys.</t>
  </si>
  <si>
    <t xml:space="preserve">Etapa 7B (riesgos residuales).</t>
  </si>
  <si>
    <t xml:space="preserve">TOTP no resiste el phishing en tiempo real; se recomienda WebAuthn como mejora futura.</t>
  </si>
  <si>
    <t xml:space="preserve">SameSite Strict; contenido JSON obligatorio; CORS restringido; frame-ancestors none y X-Frame-Options DENY. Residual: sin token CSRF.</t>
  </si>
  <si>
    <t xml:space="preserve">Fase 2 y etapa 8B (cabeceras).</t>
  </si>
  <si>
    <t xml:space="preserve">SameSite Strict, JSON obligatorio, CORS restringido, CSP frame-ancestors y, desde v1.1, cabeceras COOP, COEP y CORP.</t>
  </si>
  <si>
    <t xml:space="preserve">El renderizador bloquea imágenes externas; CSP con img-src self.</t>
  </si>
  <si>
    <t xml:space="preserve">Fase 6: captura de [imagen externa bloqueada].</t>
  </si>
  <si>
    <t xml:space="preserve">Evitar</t>
  </si>
  <si>
    <t xml:space="preserve">Se evitó la función: el renderizador bloquea las imágenes externas y la CSP solo permite img-src propio.</t>
  </si>
  <si>
    <t xml:space="preserve">Hallazgos de las pruebas de penetración y del pipeline DevSecOps</t>
  </si>
  <si>
    <t xml:space="preserve">Versión evaluada: v1.0-evaluada. Versión corregida: v1.1-remediada. DREAD de 1 a 10 en azul (los falsos positivos y lo fuera de alcance no se puntúan).</t>
  </si>
  <si>
    <t xml:space="preserve">Hallazgo</t>
  </si>
  <si>
    <t xml:space="preserve">Origen</t>
  </si>
  <si>
    <t xml:space="preserve">Daño</t>
  </si>
  <si>
    <t xml:space="preserve">Reprod.</t>
  </si>
  <si>
    <t xml:space="preserve">Explot.</t>
  </si>
  <si>
    <t xml:space="preserve">Usuarios afect.</t>
  </si>
  <si>
    <t xml:space="preserve">Descubrib.</t>
  </si>
  <si>
    <t xml:space="preserve">Promedio DREAD</t>
  </si>
  <si>
    <t xml:space="preserve">Acción o decisión</t>
  </si>
  <si>
    <t xml:space="preserve">Estado en v1.0</t>
  </si>
  <si>
    <t xml:space="preserve">Estado en v1.1</t>
  </si>
  <si>
    <t xml:space="preserve">H-01</t>
  </si>
  <si>
    <t xml:space="preserve">TLS 1.2 habilitado junto con TLS 1.3</t>
  </si>
  <si>
    <t xml:space="preserve">Nmap (ssl-enum-ciphers)</t>
  </si>
  <si>
    <t xml:space="preserve">SSL_PROTOCOLS=TLSv1.3 en el WAF. Limitación: los clientes sin TLS 1.3 (Schannel de Windows) quedan fuera.</t>
  </si>
  <si>
    <t xml:space="preserve">Abierto</t>
  </si>
  <si>
    <t xml:space="preserve">Cerrado</t>
  </si>
  <si>
    <t xml:space="preserve">nmap-tls-8443.txt y verificacion-waf-v1.1.txt</t>
  </si>
  <si>
    <t xml:space="preserve">H-02</t>
  </si>
  <si>
    <t xml:space="preserve">CORS permisivo en el WAF (origen y cabeceras con asterisco)</t>
  </si>
  <si>
    <t xml:space="preserve">Nmap (http-headers)</t>
  </si>
  <si>
    <t xml:space="preserve">Variables CORS_HEADER_* con el origen propio, métodos acotados y solo Content-Type.</t>
  </si>
  <si>
    <t xml:space="preserve">H-03</t>
  </si>
  <si>
    <t xml:space="preserve">IIS en el puerto 80 del equipo anfitrión</t>
  </si>
  <si>
    <t xml:space="preserve">Nmap (puertos)</t>
  </si>
  <si>
    <t xml:space="preserve">Fuera de alcance: pertenece al equipo del desarrollador, no al sistema evaluado.</t>
  </si>
  <si>
    <t xml:space="preserve">Observado</t>
  </si>
  <si>
    <t xml:space="preserve">nmap-puertos.txt</t>
  </si>
  <si>
    <t xml:space="preserve">H-04</t>
  </si>
  <si>
    <t xml:space="preserve">Se aceptan contraseñas muy comunes (1234567890)</t>
  </si>
  <si>
    <t xml:space="preserve">Caja gris (S-08)</t>
  </si>
  <si>
    <t xml:space="preserve">Lista de contraseñas comunes y reglas (utils/passwords.js), según NIST SP 800-63B.</t>
  </si>
  <si>
    <t xml:space="preserve">caja-gris-v1.0 y v1.1 (S-08)</t>
  </si>
  <si>
    <t xml:space="preserve">H-05</t>
  </si>
  <si>
    <t xml:space="preserve">Un token capturado sigue valiendo después de cerrar sesión</t>
  </si>
  <si>
    <t xml:space="preserve">Caja gris (S-10)</t>
  </si>
  <si>
    <t xml:space="preserve">Versión de tokens por usuario: cerrar sesión la incrementa y el token anterior se rechaza.</t>
  </si>
  <si>
    <t xml:space="preserve">caja-gris-v1.0 y v1.1 (S-10)</t>
  </si>
  <si>
    <t xml:space="preserve">H-06</t>
  </si>
  <si>
    <t xml:space="preserve">Sin límite global de peticiones en las lecturas</t>
  </si>
  <si>
    <t xml:space="preserve">Caja gris (E-05)</t>
  </si>
  <si>
    <t xml:space="preserve">Límite general de 120 peticiones por minuto por IP en toda la API.</t>
  </si>
  <si>
    <t xml:space="preserve">caja-gris-v1.1 (E-05: 200 x61 y 429 x139)</t>
  </si>
  <si>
    <t xml:space="preserve">H-07</t>
  </si>
  <si>
    <t xml:space="preserve">Faltan las cabeceras Cross-Origin (COEP, COOP y CORP)</t>
  </si>
  <si>
    <t xml:space="preserve">ZAP baseline</t>
  </si>
  <si>
    <t xml:space="preserve">Tres cabeceras en la configuración de Nginx del frontend.</t>
  </si>
  <si>
    <t xml:space="preserve">zap-caja-negra y verificacion-waf-v1.1.txt</t>
  </si>
  <si>
    <t xml:space="preserve">H-08</t>
  </si>
  <si>
    <t xml:space="preserve">Directivas de caché (hallazgo informativo)</t>
  </si>
  <si>
    <t xml:space="preserve">Los archivos estáticos son cacheables por diseño y no contienen datos sensibles.</t>
  </si>
  <si>
    <t xml:space="preserve">zap-caja-negra</t>
  </si>
  <si>
    <t xml:space="preserve">H-09</t>
  </si>
  <si>
    <t xml:space="preserve">body-parser, multer y zod con avisos HIGH (denegación de servicio)</t>
  </si>
  <si>
    <t xml:space="preserve">CI (npm audit y Trivy)</t>
  </si>
  <si>
    <t xml:space="preserve">npm audit fix en la API y el frontend; el flujo de CI volvió a verde.</t>
  </si>
  <si>
    <t xml:space="preserve">Corrida #16 de Actions y commit d1c81e3</t>
  </si>
  <si>
    <t xml:space="preserve">H-10</t>
  </si>
  <si>
    <t xml:space="preserve">Gitleaks marca una contraseña de prueba en el script de caja gris</t>
  </si>
  <si>
    <t xml:space="preserve">CI (Gitleaks)</t>
  </si>
  <si>
    <t xml:space="preserve">Falso positivo: usuario local de prueba. Huella en .gitleaksignore y el script usa una variable.</t>
  </si>
  <si>
    <t xml:space="preserve">.gitleaksignore</t>
  </si>
  <si>
    <t xml:space="preserve">H-11</t>
  </si>
  <si>
    <t xml:space="preserve">AES-GCM sin longitud de tag de autenticación</t>
  </si>
  <si>
    <t xml:space="preserve">CI (Semgrep)</t>
  </si>
  <si>
    <t xml:space="preserve">authTagLength de 16 bytes al cifrar y al descifrar, con validación del formato.</t>
  </si>
  <si>
    <t xml:space="preserve">Etapa 10; docs/hallazgos.md</t>
  </si>
  <si>
    <t xml:space="preserve">H-12</t>
  </si>
  <si>
    <t xml:space="preserve">libtiff CVE-2026-4775 en la imagen del frontend</t>
  </si>
  <si>
    <t xml:space="preserve">CI (Trivy)</t>
  </si>
  <si>
    <t xml:space="preserve">apk upgrade en la imagen final.</t>
  </si>
  <si>
    <t xml:space="preserve">Etapa 10; corrida #9</t>
  </si>
  <si>
    <t xml:space="preserve">H-13</t>
  </si>
  <si>
    <t xml:space="preserve">Vulnerabilidades en imágenes de terceros (MongoDB: 69; WAF: 2)</t>
  </si>
  <si>
    <t xml:space="preserve">CI (Trivy informativo)</t>
  </si>
  <si>
    <t xml:space="preserve">Sin puertos publicados, red interna y herramientas sin uso; se re-escanean en cada corrida.</t>
  </si>
  <si>
    <t xml:space="preserve">trivy-mongo.txt y corrida #16</t>
  </si>
  <si>
    <t xml:space="preserve">H-14</t>
  </si>
  <si>
    <t xml:space="preserve">res.sendFile con dato del usuario</t>
  </si>
  <si>
    <t xml:space="preserve">Falso positivo: nombre validado con UUID y carpeta fija. Excepción nosemgrep documentada.</t>
  </si>
  <si>
    <t xml:space="preserve">Etapa 10; routes/media.js</t>
  </si>
  <si>
    <t xml:space="preserve">Resumen por estado</t>
  </si>
  <si>
    <t xml:space="preserve">En v1.0</t>
  </si>
  <si>
    <t xml:space="preserve">En v1.1</t>
  </si>
  <si>
    <t xml:space="preserve">Matriz de calor: probabilidad contra impacto</t>
  </si>
  <si>
    <t xml:space="preserve">Cada celda cuenta cuántas amenazas caen ahí. Se recalcula con los datos de la hoja Matriz.</t>
  </si>
  <si>
    <t xml:space="preserve">Antes de los controles (riesgo inicial)</t>
  </si>
  <si>
    <t xml:space="preserve">Probabilidad</t>
  </si>
  <si>
    <t xml:space="preserve">Impacto →</t>
  </si>
  <si>
    <t xml:space="preserve">Muy alta</t>
  </si>
  <si>
    <t xml:space="preserve">Muy baja</t>
  </si>
  <si>
    <t xml:space="preserve">Después de los controles (riesgo residual en la versión v1.1-remediada)</t>
  </si>
  <si>
    <t xml:space="preserve">Resumen por nivel</t>
  </si>
  <si>
    <t xml:space="preserve">Inicial</t>
  </si>
  <si>
    <t xml:space="preserve">Residual</t>
  </si>
  <si>
    <t xml:space="preserve">Crítico</t>
  </si>
  <si>
    <t xml:space="preserve">Zonas: Crítico desde 17, Alto desde 10, Medio desde 5 (producto de probabilidad por impacto, parámetros en Escalas). Los colores de las celdas son fijos y siguen esos umbrales.</t>
  </si>
  <si>
    <t xml:space="preserve">Análisis de riesgos en 7 capas (seguridad en profundidad)</t>
  </si>
  <si>
    <t xml:space="preserve">Las referencias T-xx corresponden a la hoja STRIDE.</t>
  </si>
  <si>
    <t xml:space="preserve">Capa</t>
  </si>
  <si>
    <t xml:space="preserve">Subcapa</t>
  </si>
  <si>
    <t xml:space="preserve">Amenazas relacionadas</t>
  </si>
  <si>
    <t xml:space="preserve">Brechas y riesgos residuales</t>
  </si>
  <si>
    <t xml:space="preserve">1. Datos</t>
  </si>
  <si>
    <t xml:space="preserve">Cifrado, enmascaramiento y gestión de claves</t>
  </si>
  <si>
    <t xml:space="preserve">Hashes argon2id; semillas MFA con AES-256-GCM y llave fuera de la base; TLS 1.3 en el borde; secretos fuera del repositorio; en la nube, cifrado con KMS, SSE-KMS y Secrets Manager.</t>
  </si>
  <si>
    <t xml:space="preserve">T-12, T-13, T-23, T-25</t>
  </si>
  <si>
    <t xml:space="preserve">La llave de cifrado está en el mismo servidor que los datos. El respaldo es manual (script con restauración probada) y falta programarlo. Certificado autofirmado local.</t>
  </si>
  <si>
    <t xml:space="preserve">Etapas 7B, 8B y 9; Gitleaks sin fugas.</t>
  </si>
  <si>
    <t xml:space="preserve">2. Aplicación</t>
  </si>
  <si>
    <t xml:space="preserve">a. Código</t>
  </si>
  <si>
    <t xml:space="preserve">Validación Zod estricta; sanitizeFilter; renderizado Markdown sin HTML crudo; análisis estático con Semgrep (0 hallazgos) y ESLint.</t>
  </si>
  <si>
    <t xml:space="preserve">T-05, T-06, T-10, T-29</t>
  </si>
  <si>
    <t xml:space="preserve">Una excepción nosemgrep justificada (res.sendFile con nombre validado).</t>
  </si>
  <si>
    <t xml:space="preserve">CI de la etapa 10; fases 2, 4 y 6.</t>
  </si>
  <si>
    <t xml:space="preserve">b. Aplicación (lógica, autenticación y autorización)</t>
  </si>
  <si>
    <t xml:space="preserve">Argon2id; sesión JWT de 30 minutos en cookie HttpOnly; MFA TOTP obligatorio para admin; roles verificados en el servidor; control de dueño; bloqueos y límites.</t>
  </si>
  <si>
    <t xml:space="preserve">T-01, T-02, T-03, T-07, T-08, T-11, T-17, T-26, T-27</t>
  </si>
  <si>
    <t xml:space="preserve">Enumeración de usuarios por el registro; bloqueo de cuenta abusable; sin revocación de tokens; TOTP vulnerable a phishing; sin códigos de recuperación.</t>
  </si>
  <si>
    <t xml:space="preserve">Fases 2, 3, 5 y etapa 7B.</t>
  </si>
  <si>
    <t xml:space="preserve">c. Implementación (bibliotecas, dependencias y frameworks)</t>
  </si>
  <si>
    <t xml:space="preserve">npm audit en 0; Dependabot semanal; package-lock y npm ci; dependencias mínimas; imágenes sin npm.</t>
  </si>
  <si>
    <t xml:space="preserve">T-18, T-19</t>
  </si>
  <si>
    <t xml:space="preserve">El script de instalación de argon2 no está aprobado de forma explícita; acciones y herramientas por versión y no por hash.</t>
  </si>
  <si>
    <t xml:space="preserve">CI de la etapa 10; Trivy.</t>
  </si>
  <si>
    <t xml:space="preserve">d. Perímetro (endpoints, rutas públicas y privadas)</t>
  </si>
  <si>
    <t xml:space="preserve">Rutas públicas limitadas a lectura de posts e imágenes; /health no expuesto; CORS restringido; límites de peticiones por ruta; WAF.</t>
  </si>
  <si>
    <t xml:space="preserve">T-16, T-28</t>
  </si>
  <si>
    <t xml:space="preserve">Sin límite global de peticiones en el borde local; sin token CSRF (se apoya en SameSite).</t>
  </si>
  <si>
    <t xml:space="preserve">Fases 1, 2 y 8B.</t>
  </si>
  <si>
    <t xml:space="preserve">3. Host</t>
  </si>
  <si>
    <t xml:space="preserve">Endurecimiento, parches y runtime de contenedores</t>
  </si>
  <si>
    <t xml:space="preserve">Usuarios sin root; sistema de archivos de solo lectura; cap_drop ALL; no-new-privileges; límites de recursos; upgrade de paquetes; Trivy bloqueante.</t>
  </si>
  <si>
    <t xml:space="preserve">T-19, T-22</t>
  </si>
  <si>
    <t xml:space="preserve">WAF y MongoDB sin sistema de solo lectura; vulnerabilidades de las imágenes de terceros aceptadas con justificación.</t>
  </si>
  <si>
    <t xml:space="preserve">Fases 8A y 8B; CI.</t>
  </si>
  <si>
    <t xml:space="preserve">4. Red interna</t>
  </si>
  <si>
    <t xml:space="preserve">Subredes privadas, grupos de seguridad y microsegmentación</t>
  </si>
  <si>
    <t xml:space="preserve">Red interna de Docker sin salida y sin puertos publicados salvo el WAF; en la nube, VPC de tres niveles con grupos de seguridad por referencia.</t>
  </si>
  <si>
    <t xml:space="preserve">Sin TLS entre servicios internos; una sola NAT Gateway (punto único de falla).</t>
  </si>
  <si>
    <t xml:space="preserve">Fase 8A; etapa 9.</t>
  </si>
  <si>
    <t xml:space="preserve">5. Perímetro cloud y red</t>
  </si>
  <si>
    <t xml:space="preserve">Firewalls, mitigación de DDoS y gateways</t>
  </si>
  <si>
    <t xml:space="preserve">WAF ModSecurity con OWASP CRS (paranoia 1); TLS 1.3; en la nube, AWS WAF con reglas administradas y regla de tasa, ALB con TLS 1.3.</t>
  </si>
  <si>
    <t xml:space="preserve">T-16, T-23</t>
  </si>
  <si>
    <t xml:space="preserve">Sin servicio de mitigación DDoS de red en el diseño; el WAF puede dar falsos positivos con contenido legítimo.</t>
  </si>
  <si>
    <t xml:space="preserve">Etapa 8B; Terraform.</t>
  </si>
  <si>
    <t xml:space="preserve">6. Seguridad física</t>
  </si>
  <si>
    <t xml:space="preserve">Infraestructura del proveedor y dispositivos</t>
  </si>
  <si>
    <t xml:space="preserve">En la nube, delegada al proveedor (certificaciones SOC 2 e ISO 27001, responsabilidad compartida). Teléfono con la app autenticadora protegido por bloqueo.</t>
  </si>
  <si>
    <t xml:space="preserve">El equipo de desarrollo y el teléfono dependen de buenas prácticas del usuario (bloqueo y cifrado de disco), que no se verifican.</t>
  </si>
  <si>
    <t xml:space="preserve">Diseño de la etapa 9.</t>
  </si>
  <si>
    <t xml:space="preserve">7. Políticas, procedimientos y concientización</t>
  </si>
  <si>
    <t xml:space="preserve">Contraseñas, política DevSecOps y gestión de incidentes</t>
  </si>
  <si>
    <t xml:space="preserve">Contraseñas de 10 o más caracteres; flujo CI/CD bloqueante; auditoría con registro de rechazos; reinicio del MFA por script documentado.</t>
  </si>
  <si>
    <t xml:space="preserve">T-14, T-15, T-26, T-27</t>
  </si>
  <si>
    <t xml:space="preserve">No hay política formal escrita de contraseñas ni plan de respuesta a incidentes; sin capacitación; los logs no tienen alertas automáticas.</t>
  </si>
  <si>
    <t xml:space="preserve">docs/hallazgos.md; CI.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</si>
</sst>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;\-0;\·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FFE699"/>
        <bgColor rgb="FFFFF2CC"/>
      </patternFill>
    </fill>
    <fill>
      <patternFill patternType="solid">
        <fgColor rgb="FFF4B183"/>
        <bgColor rgb="FFFF99CC"/>
      </patternFill>
    </fill>
    <fill>
      <patternFill patternType="solid">
        <fgColor rgb="FFE06666"/>
        <bgColor rgb="FFFF6600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E06666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5" t="s">
        <v>5</v>
      </c>
    </row>
    <row r="6" customFormat="false" ht="15" hidden="false" customHeight="true" outlineLevel="0" collapsed="false">
      <c r="A6" s="5" t="s">
        <v>6</v>
      </c>
      <c r="B6" s="5" t="s">
        <v>7</v>
      </c>
    </row>
    <row r="7" customFormat="false" ht="15" hidden="false" customHeight="true" outlineLevel="0" collapsed="false">
      <c r="A7" s="5" t="s">
        <v>8</v>
      </c>
      <c r="B7" s="5" t="s">
        <v>9</v>
      </c>
    </row>
    <row r="8" customFormat="false" ht="15" hidden="false" customHeight="true" outlineLevel="0" collapsed="false">
      <c r="A8" s="5" t="s">
        <v>10</v>
      </c>
      <c r="B8" s="5" t="s">
        <v>11</v>
      </c>
    </row>
    <row r="9" customFormat="false" ht="15" hidden="false" customHeight="true" outlineLevel="0" collapsed="false">
      <c r="A9" s="5" t="s">
        <v>12</v>
      </c>
      <c r="B9" s="5" t="s">
        <v>13</v>
      </c>
    </row>
    <row r="10" customFormat="false" ht="15" hidden="false" customHeight="true" outlineLevel="0" collapsed="false">
      <c r="A10" s="5" t="s">
        <v>14</v>
      </c>
      <c r="B10" s="5" t="s">
        <v>15</v>
      </c>
    </row>
    <row r="11" customFormat="false" ht="15" hidden="false" customHeight="true" outlineLevel="0" collapsed="false">
      <c r="A11" s="5" t="s">
        <v>16</v>
      </c>
      <c r="B11" s="5" t="s">
        <v>17</v>
      </c>
    </row>
    <row r="12" customFormat="false" ht="15" hidden="false" customHeight="true" outlineLevel="0" collapsed="false">
      <c r="A12" s="5" t="s">
        <v>18</v>
      </c>
      <c r="B12" s="5" t="s">
        <v>19</v>
      </c>
    </row>
    <row r="13" customFormat="false" ht="15" hidden="false" customHeight="true" outlineLevel="0" collapsed="false">
      <c r="A13" s="6" t="s">
        <v>20</v>
      </c>
    </row>
    <row r="14" customFormat="false" ht="15" hidden="false" customHeight="true" outlineLevel="0" collapsed="false">
      <c r="A14" s="7" t="s">
        <v>21</v>
      </c>
      <c r="B14" s="5" t="s">
        <v>22</v>
      </c>
    </row>
    <row r="15" customFormat="false" ht="15" hidden="false" customHeight="true" outlineLevel="0" collapsed="false">
      <c r="A15" s="5" t="s">
        <v>23</v>
      </c>
      <c r="B15" s="5" t="s">
        <v>24</v>
      </c>
    </row>
    <row r="16" customFormat="false" ht="15" hidden="false" customHeight="true" outlineLevel="0" collapsed="false">
      <c r="A16" s="8" t="s">
        <v>25</v>
      </c>
      <c r="B16" s="5" t="s">
        <v>26</v>
      </c>
    </row>
    <row r="18" customFormat="false" ht="15" hidden="false" customHeight="true" outlineLevel="0" collapsed="false">
      <c r="A18" s="6" t="s">
        <v>27</v>
      </c>
    </row>
    <row r="19" customFormat="false" ht="23.25" hidden="false" customHeight="true" outlineLevel="0" collapsed="false">
      <c r="A19" s="5" t="s">
        <v>28</v>
      </c>
      <c r="B19" s="5" t="s">
        <v>29</v>
      </c>
    </row>
    <row r="20" customFormat="false" ht="23.25" hidden="false" customHeight="true" outlineLevel="0" collapsed="false">
      <c r="A20" s="5" t="s">
        <v>30</v>
      </c>
      <c r="B20" s="5" t="s">
        <v>31</v>
      </c>
    </row>
    <row r="21" customFormat="false" ht="15" hidden="false" customHeight="true" outlineLevel="0" collapsed="false">
      <c r="A21" s="5" t="s">
        <v>32</v>
      </c>
      <c r="B21" s="5" t="s">
        <v>33</v>
      </c>
    </row>
    <row r="22" customFormat="false" ht="15" hidden="false" customHeight="true" outlineLevel="0" collapsed="false">
      <c r="A22" s="5" t="s">
        <v>34</v>
      </c>
      <c r="B22" s="5" t="s">
        <v>35</v>
      </c>
    </row>
    <row r="23" customFormat="false" ht="23.25" hidden="false" customHeight="true" outlineLevel="0" collapsed="false">
      <c r="A23" s="5" t="s">
        <v>36</v>
      </c>
      <c r="B23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90"/>
  </cols>
  <sheetData>
    <row r="1" customFormat="false" ht="17.25" hidden="false" customHeight="true" outlineLevel="0" collapsed="false">
      <c r="A1" s="2" t="s">
        <v>38</v>
      </c>
    </row>
    <row r="2" customFormat="false" ht="15" hidden="false" customHeight="true" outlineLevel="0" collapsed="false">
      <c r="A2" s="3" t="s">
        <v>39</v>
      </c>
    </row>
    <row r="4" customFormat="false" ht="31.5" hidden="false" customHeight="true" outlineLevel="0" collapsed="false">
      <c r="A4" s="9" t="s">
        <v>40</v>
      </c>
      <c r="B4" s="9" t="s">
        <v>41</v>
      </c>
      <c r="C4" s="9" t="s">
        <v>42</v>
      </c>
    </row>
    <row r="5" customFormat="false" ht="15" hidden="false" customHeight="true" outlineLevel="0" collapsed="false">
      <c r="A5" s="5" t="s">
        <v>43</v>
      </c>
      <c r="B5" s="10" t="n">
        <v>3</v>
      </c>
      <c r="C5" s="5" t="s">
        <v>44</v>
      </c>
    </row>
    <row r="6" customFormat="false" ht="15" hidden="false" customHeight="true" outlineLevel="0" collapsed="false">
      <c r="A6" s="5" t="s">
        <v>45</v>
      </c>
      <c r="B6" s="10" t="n">
        <v>2</v>
      </c>
      <c r="C6" s="5" t="s">
        <v>46</v>
      </c>
    </row>
    <row r="7" customFormat="false" ht="15" hidden="false" customHeight="true" outlineLevel="0" collapsed="false">
      <c r="A7" s="5" t="s">
        <v>47</v>
      </c>
      <c r="B7" s="10" t="n">
        <v>1</v>
      </c>
      <c r="C7" s="5" t="s">
        <v>46</v>
      </c>
    </row>
    <row r="8" customFormat="false" ht="15" hidden="false" customHeight="true" outlineLevel="0" collapsed="false">
      <c r="A8" s="5" t="s">
        <v>48</v>
      </c>
      <c r="B8" s="10" t="n">
        <v>9</v>
      </c>
      <c r="C8" s="5" t="s">
        <v>49</v>
      </c>
    </row>
    <row r="9" customFormat="false" ht="15" hidden="false" customHeight="true" outlineLevel="0" collapsed="false">
      <c r="A9" s="5" t="s">
        <v>50</v>
      </c>
      <c r="B9" s="10" t="n">
        <v>7</v>
      </c>
      <c r="C9" s="5"/>
    </row>
    <row r="10" customFormat="false" ht="15" hidden="false" customHeight="true" outlineLevel="0" collapsed="false">
      <c r="A10" s="5" t="s">
        <v>51</v>
      </c>
      <c r="B10" s="10" t="n">
        <v>4</v>
      </c>
      <c r="C10" s="5" t="s">
        <v>52</v>
      </c>
    </row>
    <row r="11" customFormat="false" ht="15" hidden="false" customHeight="true" outlineLevel="0" collapsed="false">
      <c r="A11" s="5" t="s">
        <v>53</v>
      </c>
      <c r="B11" s="10" t="n">
        <v>7</v>
      </c>
      <c r="C11" s="5" t="s">
        <v>54</v>
      </c>
    </row>
    <row r="12" customFormat="false" ht="15" hidden="false" customHeight="true" outlineLevel="0" collapsed="false">
      <c r="A12" s="5" t="s">
        <v>55</v>
      </c>
      <c r="B12" s="10" t="n">
        <v>4</v>
      </c>
      <c r="C12" s="5" t="s">
        <v>56</v>
      </c>
    </row>
    <row r="13" customFormat="false" ht="15" hidden="false" customHeight="true" outlineLevel="0" collapsed="false">
      <c r="A13" s="5" t="s">
        <v>57</v>
      </c>
      <c r="B13" s="10" t="n">
        <v>17</v>
      </c>
      <c r="C13" s="5" t="s">
        <v>58</v>
      </c>
    </row>
    <row r="14" customFormat="false" ht="15" hidden="false" customHeight="true" outlineLevel="0" collapsed="false">
      <c r="A14" s="5" t="s">
        <v>59</v>
      </c>
      <c r="B14" s="10" t="n">
        <v>10</v>
      </c>
      <c r="C14" s="5"/>
    </row>
    <row r="15" customFormat="false" ht="15" hidden="false" customHeight="true" outlineLevel="0" collapsed="false">
      <c r="A15" s="5" t="s">
        <v>60</v>
      </c>
      <c r="B15" s="10" t="n">
        <v>5</v>
      </c>
      <c r="C15" s="5" t="s">
        <v>56</v>
      </c>
    </row>
    <row r="16" customFormat="false" ht="23.25" hidden="false" customHeight="true" outlineLevel="0" collapsed="false">
      <c r="A16" s="5" t="s">
        <v>61</v>
      </c>
      <c r="B16" s="10" t="n">
        <v>2</v>
      </c>
      <c r="C16" s="5" t="s">
        <v>62</v>
      </c>
    </row>
    <row r="19" customFormat="false" ht="15" hidden="false" customHeight="true" outlineLevel="0" collapsed="false">
      <c r="A19" s="6" t="s">
        <v>63</v>
      </c>
    </row>
    <row r="20" customFormat="false" ht="15" hidden="false" customHeight="true" outlineLevel="0" collapsed="false">
      <c r="A20" s="11" t="s">
        <v>64</v>
      </c>
      <c r="B20" s="12"/>
      <c r="C20" s="5" t="s">
        <v>65</v>
      </c>
    </row>
    <row r="21" customFormat="false" ht="15" hidden="false" customHeight="true" outlineLevel="0" collapsed="false">
      <c r="A21" s="11" t="s">
        <v>66</v>
      </c>
      <c r="B21" s="12"/>
      <c r="C21" s="5" t="s">
        <v>67</v>
      </c>
    </row>
    <row r="22" customFormat="false" ht="15" hidden="false" customHeight="true" outlineLevel="0" collapsed="false">
      <c r="A22" s="11" t="s">
        <v>68</v>
      </c>
      <c r="B22" s="12"/>
      <c r="C22" s="5" t="s">
        <v>69</v>
      </c>
    </row>
    <row r="23" customFormat="false" ht="15" hidden="false" customHeight="true" outlineLevel="0" collapsed="false">
      <c r="A23" s="11" t="s">
        <v>70</v>
      </c>
      <c r="B23" s="12"/>
      <c r="C23" s="5" t="s">
        <v>71</v>
      </c>
    </row>
    <row r="24" customFormat="false" ht="15" hidden="false" customHeight="true" outlineLevel="0" collapsed="false">
      <c r="A24" s="11" t="s">
        <v>72</v>
      </c>
      <c r="B24" s="12"/>
      <c r="C24" s="5" t="s">
        <v>73</v>
      </c>
    </row>
    <row r="25" customFormat="false" ht="23.25" hidden="false" customHeight="true" outlineLevel="0" collapsed="false">
      <c r="A25" s="11" t="s">
        <v>74</v>
      </c>
      <c r="B25" s="12"/>
      <c r="C25" s="5" t="s">
        <v>75</v>
      </c>
    </row>
    <row r="26" customFormat="false" ht="15" hidden="false" customHeight="true" outlineLevel="0" collapsed="false">
      <c r="A26" s="11" t="s">
        <v>76</v>
      </c>
      <c r="B26" s="12"/>
      <c r="C26" s="5" t="s">
        <v>77</v>
      </c>
    </row>
    <row r="27" customFormat="false" ht="15" hidden="false" customHeight="true" outlineLevel="0" collapsed="false">
      <c r="A27" s="11" t="s">
        <v>78</v>
      </c>
      <c r="B27" s="12"/>
      <c r="C27" s="5" t="s">
        <v>79</v>
      </c>
    </row>
    <row r="28" customFormat="false" ht="15" hidden="false" customHeight="true" outlineLevel="0" collapsed="false">
      <c r="A28" s="11" t="s">
        <v>80</v>
      </c>
      <c r="B28" s="12"/>
      <c r="C28" s="5" t="s">
        <v>81</v>
      </c>
    </row>
    <row r="29" customFormat="false" ht="15" hidden="false" customHeight="true" outlineLevel="0" collapsed="false">
      <c r="A29" s="11" t="s">
        <v>82</v>
      </c>
      <c r="B29" s="12"/>
      <c r="C29" s="5" t="s">
        <v>83</v>
      </c>
    </row>
    <row r="30" customFormat="false" ht="23.25" hidden="false" customHeight="true" outlineLevel="0" collapsed="false">
      <c r="A30" s="11" t="s">
        <v>84</v>
      </c>
      <c r="B30" s="12"/>
      <c r="C30" s="5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4"/>
    <col collapsed="false" customWidth="true" hidden="false" outlineLevel="0" max="3" min="3" style="1" width="24"/>
    <col collapsed="false" customWidth="true" hidden="false" outlineLevel="0" max="4" min="4" style="1" width="46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52"/>
    <col collapsed="false" customWidth="true" hidden="false" outlineLevel="0" max="13" min="13" style="1" width="24"/>
    <col collapsed="false" customWidth="true" hidden="false" outlineLevel="0" max="14" min="14" style="1" width="26"/>
    <col collapsed="false" customWidth="true" hidden="false" outlineLevel="0" max="15" min="15" style="1" width="34"/>
  </cols>
  <sheetData>
    <row r="1" customFormat="false" ht="17.2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4" customFormat="false" ht="31.5" hidden="false" customHeight="true" outlineLevel="0" collapsed="false">
      <c r="A4" s="9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64</v>
      </c>
      <c r="H4" s="9" t="s">
        <v>66</v>
      </c>
      <c r="I4" s="9" t="s">
        <v>68</v>
      </c>
      <c r="J4" s="9" t="s">
        <v>94</v>
      </c>
      <c r="K4" s="9" t="s">
        <v>95</v>
      </c>
      <c r="L4" s="9" t="s">
        <v>96</v>
      </c>
      <c r="M4" s="9" t="s">
        <v>97</v>
      </c>
      <c r="N4" s="9" t="s">
        <v>98</v>
      </c>
      <c r="O4" s="9" t="s">
        <v>99</v>
      </c>
    </row>
    <row r="5" customFormat="false" ht="23.25" hidden="false" customHeight="true" outlineLevel="0" collapsed="false">
      <c r="A5" s="13" t="s">
        <v>100</v>
      </c>
      <c r="B5" s="5" t="s">
        <v>101</v>
      </c>
      <c r="C5" s="5" t="s">
        <v>102</v>
      </c>
      <c r="D5" s="5" t="s">
        <v>103</v>
      </c>
      <c r="E5" s="12" t="s">
        <v>104</v>
      </c>
      <c r="F5" s="12" t="s">
        <v>105</v>
      </c>
      <c r="G5" s="10" t="s">
        <v>106</v>
      </c>
      <c r="H5" s="10" t="s">
        <v>106</v>
      </c>
      <c r="I5" s="10" t="s">
        <v>107</v>
      </c>
      <c r="J5" s="12" t="n">
        <f aca="false">IF(G5="A",Escalas!$B$5,IF(G5="M",Escalas!$B$6,Escalas!$B$7))+IF(H5="A",Escalas!$B$5,IF(H5="M",Escalas!$B$6,Escalas!$B$7))+IF(I5="A",Escalas!$B$5,IF(I5="M",Escalas!$B$6,Escalas!$B$7))</f>
        <v>8</v>
      </c>
      <c r="K5" s="12" t="str">
        <f aca="false">IF(J5&gt;=Escalas!$B$8,"Crítica",IF(J5&gt;=Escalas!$B$9,"Alta",IF(J5&gt;=Escalas!$B$10,"Media","Baja")))</f>
        <v>Alta</v>
      </c>
      <c r="L5" s="5" t="s">
        <v>108</v>
      </c>
      <c r="M5" s="5" t="s">
        <v>109</v>
      </c>
      <c r="N5" s="5" t="s">
        <v>110</v>
      </c>
      <c r="O5" s="5" t="s">
        <v>111</v>
      </c>
    </row>
    <row r="6" customFormat="false" ht="23.25" hidden="false" customHeight="true" outlineLevel="0" collapsed="false">
      <c r="A6" s="13" t="s">
        <v>112</v>
      </c>
      <c r="B6" s="5" t="s">
        <v>113</v>
      </c>
      <c r="C6" s="5" t="s">
        <v>114</v>
      </c>
      <c r="D6" s="5" t="s">
        <v>115</v>
      </c>
      <c r="E6" s="12" t="s">
        <v>104</v>
      </c>
      <c r="F6" s="12" t="s">
        <v>105</v>
      </c>
      <c r="G6" s="10" t="s">
        <v>107</v>
      </c>
      <c r="H6" s="10" t="s">
        <v>107</v>
      </c>
      <c r="I6" s="10" t="s">
        <v>107</v>
      </c>
      <c r="J6" s="12" t="n">
        <f aca="false">IF(G6="A",Escalas!$B$5,IF(G6="M",Escalas!$B$6,Escalas!$B$7))+IF(H6="A",Escalas!$B$5,IF(H6="M",Escalas!$B$6,Escalas!$B$7))+IF(I6="A",Escalas!$B$5,IF(I6="M",Escalas!$B$6,Escalas!$B$7))</f>
        <v>6</v>
      </c>
      <c r="K6" s="12" t="str">
        <f aca="false">IF(J6&gt;=Escalas!$B$8,"Crítica",IF(J6&gt;=Escalas!$B$9,"Alta",IF(J6&gt;=Escalas!$B$10,"Media","Baja")))</f>
        <v>Media</v>
      </c>
      <c r="L6" s="5" t="s">
        <v>116</v>
      </c>
      <c r="M6" s="5" t="s">
        <v>109</v>
      </c>
      <c r="N6" s="5" t="s">
        <v>110</v>
      </c>
      <c r="O6" s="5" t="s">
        <v>117</v>
      </c>
    </row>
    <row r="7" customFormat="false" ht="23.25" hidden="false" customHeight="true" outlineLevel="0" collapsed="false">
      <c r="A7" s="13" t="s">
        <v>118</v>
      </c>
      <c r="B7" s="5" t="s">
        <v>119</v>
      </c>
      <c r="C7" s="5" t="s">
        <v>120</v>
      </c>
      <c r="D7" s="5" t="s">
        <v>121</v>
      </c>
      <c r="E7" s="12" t="s">
        <v>104</v>
      </c>
      <c r="F7" s="12" t="s">
        <v>105</v>
      </c>
      <c r="G7" s="10" t="s">
        <v>107</v>
      </c>
      <c r="H7" s="10" t="s">
        <v>106</v>
      </c>
      <c r="I7" s="10" t="s">
        <v>107</v>
      </c>
      <c r="J7" s="12" t="n">
        <f aca="false">IF(G7="A",Escalas!$B$5,IF(G7="M",Escalas!$B$6,Escalas!$B$7))+IF(H7="A",Escalas!$B$5,IF(H7="M",Escalas!$B$6,Escalas!$B$7))+IF(I7="A",Escalas!$B$5,IF(I7="M",Escalas!$B$6,Escalas!$B$7))</f>
        <v>7</v>
      </c>
      <c r="K7" s="12" t="str">
        <f aca="false">IF(J7&gt;=Escalas!$B$8,"Crítica",IF(J7&gt;=Escalas!$B$9,"Alta",IF(J7&gt;=Escalas!$B$10,"Media","Baja")))</f>
        <v>Alta</v>
      </c>
      <c r="L7" s="5" t="s">
        <v>122</v>
      </c>
      <c r="M7" s="5" t="s">
        <v>123</v>
      </c>
      <c r="N7" s="5" t="s">
        <v>110</v>
      </c>
      <c r="O7" s="5" t="s">
        <v>124</v>
      </c>
    </row>
    <row r="8" customFormat="false" ht="23.25" hidden="false" customHeight="true" outlineLevel="0" collapsed="false">
      <c r="A8" s="13" t="s">
        <v>125</v>
      </c>
      <c r="B8" s="5" t="s">
        <v>126</v>
      </c>
      <c r="C8" s="5" t="s">
        <v>120</v>
      </c>
      <c r="D8" s="5" t="s">
        <v>127</v>
      </c>
      <c r="E8" s="12" t="s">
        <v>104</v>
      </c>
      <c r="F8" s="12" t="s">
        <v>105</v>
      </c>
      <c r="G8" s="10" t="s">
        <v>128</v>
      </c>
      <c r="H8" s="10" t="s">
        <v>107</v>
      </c>
      <c r="I8" s="10" t="s">
        <v>107</v>
      </c>
      <c r="J8" s="12" t="n">
        <f aca="false">IF(G8="A",Escalas!$B$5,IF(G8="M",Escalas!$B$6,Escalas!$B$7))+IF(H8="A",Escalas!$B$5,IF(H8="M",Escalas!$B$6,Escalas!$B$7))+IF(I8="A",Escalas!$B$5,IF(I8="M",Escalas!$B$6,Escalas!$B$7))</f>
        <v>5</v>
      </c>
      <c r="K8" s="12" t="str">
        <f aca="false">IF(J8&gt;=Escalas!$B$8,"Crítica",IF(J8&gt;=Escalas!$B$9,"Alta",IF(J8&gt;=Escalas!$B$10,"Media","Baja")))</f>
        <v>Media</v>
      </c>
      <c r="L8" s="5" t="s">
        <v>129</v>
      </c>
      <c r="M8" s="5" t="s">
        <v>123</v>
      </c>
      <c r="N8" s="5" t="s">
        <v>130</v>
      </c>
      <c r="O8" s="5" t="s">
        <v>131</v>
      </c>
    </row>
    <row r="9" customFormat="false" ht="23.25" hidden="false" customHeight="true" outlineLevel="0" collapsed="false">
      <c r="A9" s="13" t="s">
        <v>132</v>
      </c>
      <c r="B9" s="5" t="s">
        <v>133</v>
      </c>
      <c r="C9" s="5" t="s">
        <v>134</v>
      </c>
      <c r="D9" s="5" t="s">
        <v>135</v>
      </c>
      <c r="E9" s="12" t="s">
        <v>104</v>
      </c>
      <c r="F9" s="12" t="s">
        <v>105</v>
      </c>
      <c r="G9" s="10" t="s">
        <v>106</v>
      </c>
      <c r="H9" s="10" t="s">
        <v>106</v>
      </c>
      <c r="I9" s="10" t="s">
        <v>107</v>
      </c>
      <c r="J9" s="12" t="n">
        <f aca="false">IF(G9="A",Escalas!$B$5,IF(G9="M",Escalas!$B$6,Escalas!$B$7))+IF(H9="A",Escalas!$B$5,IF(H9="M",Escalas!$B$6,Escalas!$B$7))+IF(I9="A",Escalas!$B$5,IF(I9="M",Escalas!$B$6,Escalas!$B$7))</f>
        <v>8</v>
      </c>
      <c r="K9" s="12" t="str">
        <f aca="false">IF(J9&gt;=Escalas!$B$8,"Crítica",IF(J9&gt;=Escalas!$B$9,"Alta",IF(J9&gt;=Escalas!$B$10,"Media","Baja")))</f>
        <v>Alta</v>
      </c>
      <c r="L9" s="5" t="s">
        <v>136</v>
      </c>
      <c r="M9" s="5" t="s">
        <v>109</v>
      </c>
      <c r="N9" s="5" t="s">
        <v>110</v>
      </c>
      <c r="O9" s="5" t="s">
        <v>111</v>
      </c>
    </row>
    <row r="10" customFormat="false" ht="23.25" hidden="false" customHeight="true" outlineLevel="0" collapsed="false">
      <c r="A10" s="13" t="s">
        <v>137</v>
      </c>
      <c r="B10" s="5" t="s">
        <v>138</v>
      </c>
      <c r="C10" s="5" t="s">
        <v>139</v>
      </c>
      <c r="D10" s="5" t="s">
        <v>140</v>
      </c>
      <c r="E10" s="12" t="s">
        <v>104</v>
      </c>
      <c r="F10" s="12" t="s">
        <v>105</v>
      </c>
      <c r="G10" s="10" t="s">
        <v>107</v>
      </c>
      <c r="H10" s="10" t="s">
        <v>106</v>
      </c>
      <c r="I10" s="10" t="s">
        <v>107</v>
      </c>
      <c r="J10" s="12" t="n">
        <f aca="false">IF(G10="A",Escalas!$B$5,IF(G10="M",Escalas!$B$6,Escalas!$B$7))+IF(H10="A",Escalas!$B$5,IF(H10="M",Escalas!$B$6,Escalas!$B$7))+IF(I10="A",Escalas!$B$5,IF(I10="M",Escalas!$B$6,Escalas!$B$7))</f>
        <v>7</v>
      </c>
      <c r="K10" s="12" t="str">
        <f aca="false">IF(J10&gt;=Escalas!$B$8,"Crítica",IF(J10&gt;=Escalas!$B$9,"Alta",IF(J10&gt;=Escalas!$B$10,"Media","Baja")))</f>
        <v>Alta</v>
      </c>
      <c r="L10" s="5" t="s">
        <v>141</v>
      </c>
      <c r="M10" s="5" t="s">
        <v>142</v>
      </c>
      <c r="N10" s="5" t="s">
        <v>110</v>
      </c>
      <c r="O10" s="5" t="s">
        <v>143</v>
      </c>
    </row>
    <row r="11" customFormat="false" ht="23.25" hidden="false" customHeight="true" outlineLevel="0" collapsed="false">
      <c r="A11" s="13" t="s">
        <v>144</v>
      </c>
      <c r="B11" s="5" t="s">
        <v>145</v>
      </c>
      <c r="C11" s="5" t="s">
        <v>146</v>
      </c>
      <c r="D11" s="5" t="s">
        <v>147</v>
      </c>
      <c r="E11" s="12" t="s">
        <v>104</v>
      </c>
      <c r="F11" s="12" t="s">
        <v>105</v>
      </c>
      <c r="G11" s="10" t="s">
        <v>106</v>
      </c>
      <c r="H11" s="10" t="s">
        <v>106</v>
      </c>
      <c r="I11" s="10" t="s">
        <v>106</v>
      </c>
      <c r="J11" s="12" t="n">
        <f aca="false">IF(G11="A",Escalas!$B$5,IF(G11="M",Escalas!$B$6,Escalas!$B$7))+IF(H11="A",Escalas!$B$5,IF(H11="M",Escalas!$B$6,Escalas!$B$7))+IF(I11="A",Escalas!$B$5,IF(I11="M",Escalas!$B$6,Escalas!$B$7))</f>
        <v>9</v>
      </c>
      <c r="K11" s="12" t="str">
        <f aca="false">IF(J11&gt;=Escalas!$B$8,"Crítica",IF(J11&gt;=Escalas!$B$9,"Alta",IF(J11&gt;=Escalas!$B$10,"Media","Baja")))</f>
        <v>Crítica</v>
      </c>
      <c r="L11" s="5" t="s">
        <v>148</v>
      </c>
      <c r="M11" s="5" t="s">
        <v>109</v>
      </c>
      <c r="N11" s="5" t="s">
        <v>130</v>
      </c>
      <c r="O11" s="5" t="s">
        <v>149</v>
      </c>
    </row>
    <row r="12" customFormat="false" ht="23.25" hidden="false" customHeight="true" outlineLevel="0" collapsed="false">
      <c r="A12" s="13" t="s">
        <v>150</v>
      </c>
      <c r="B12" s="5" t="s">
        <v>151</v>
      </c>
      <c r="C12" s="5" t="s">
        <v>152</v>
      </c>
      <c r="D12" s="5" t="s">
        <v>153</v>
      </c>
      <c r="E12" s="12" t="s">
        <v>104</v>
      </c>
      <c r="F12" s="12" t="s">
        <v>105</v>
      </c>
      <c r="G12" s="10" t="s">
        <v>106</v>
      </c>
      <c r="H12" s="10" t="s">
        <v>106</v>
      </c>
      <c r="I12" s="10" t="s">
        <v>128</v>
      </c>
      <c r="J12" s="12" t="n">
        <f aca="false">IF(G12="A",Escalas!$B$5,IF(G12="M",Escalas!$B$6,Escalas!$B$7))+IF(H12="A",Escalas!$B$5,IF(H12="M",Escalas!$B$6,Escalas!$B$7))+IF(I12="A",Escalas!$B$5,IF(I12="M",Escalas!$B$6,Escalas!$B$7))</f>
        <v>7</v>
      </c>
      <c r="K12" s="12" t="str">
        <f aca="false">IF(J12&gt;=Escalas!$B$8,"Crítica",IF(J12&gt;=Escalas!$B$9,"Alta",IF(J12&gt;=Escalas!$B$10,"Media","Baja")))</f>
        <v>Alta</v>
      </c>
      <c r="L12" s="5" t="s">
        <v>154</v>
      </c>
      <c r="M12" s="5" t="s">
        <v>155</v>
      </c>
      <c r="N12" s="5" t="s">
        <v>111</v>
      </c>
      <c r="O12" s="5" t="s">
        <v>156</v>
      </c>
    </row>
    <row r="13" customFormat="false" ht="23.25" hidden="false" customHeight="true" outlineLevel="0" collapsed="false">
      <c r="A13" s="13" t="s">
        <v>157</v>
      </c>
      <c r="B13" s="5" t="s">
        <v>158</v>
      </c>
      <c r="C13" s="5" t="s">
        <v>159</v>
      </c>
      <c r="D13" s="5" t="s">
        <v>160</v>
      </c>
      <c r="E13" s="12" t="s">
        <v>161</v>
      </c>
      <c r="F13" s="12" t="s">
        <v>105</v>
      </c>
      <c r="G13" s="10" t="s">
        <v>107</v>
      </c>
      <c r="H13" s="10" t="s">
        <v>106</v>
      </c>
      <c r="I13" s="10" t="s">
        <v>106</v>
      </c>
      <c r="J13" s="12" t="n">
        <f aca="false">IF(G13="A",Escalas!$B$5,IF(G13="M",Escalas!$B$6,Escalas!$B$7))+IF(H13="A",Escalas!$B$5,IF(H13="M",Escalas!$B$6,Escalas!$B$7))+IF(I13="A",Escalas!$B$5,IF(I13="M",Escalas!$B$6,Escalas!$B$7))</f>
        <v>8</v>
      </c>
      <c r="K13" s="12" t="str">
        <f aca="false">IF(J13&gt;=Escalas!$B$8,"Crítica",IF(J13&gt;=Escalas!$B$9,"Alta",IF(J13&gt;=Escalas!$B$10,"Media","Baja")))</f>
        <v>Alta</v>
      </c>
      <c r="L13" s="5" t="s">
        <v>162</v>
      </c>
      <c r="M13" s="5" t="s">
        <v>109</v>
      </c>
      <c r="N13" s="5" t="s">
        <v>130</v>
      </c>
      <c r="O13" s="5" t="s">
        <v>163</v>
      </c>
    </row>
    <row r="14" customFormat="false" ht="23.25" hidden="false" customHeight="true" outlineLevel="0" collapsed="false">
      <c r="A14" s="13" t="s">
        <v>164</v>
      </c>
      <c r="B14" s="5" t="s">
        <v>165</v>
      </c>
      <c r="C14" s="5" t="s">
        <v>166</v>
      </c>
      <c r="D14" s="5" t="s">
        <v>167</v>
      </c>
      <c r="E14" s="12" t="s">
        <v>161</v>
      </c>
      <c r="F14" s="12" t="s">
        <v>105</v>
      </c>
      <c r="G14" s="10" t="s">
        <v>128</v>
      </c>
      <c r="H14" s="10" t="s">
        <v>106</v>
      </c>
      <c r="I14" s="10" t="s">
        <v>107</v>
      </c>
      <c r="J14" s="12" t="n">
        <f aca="false">IF(G14="A",Escalas!$B$5,IF(G14="M",Escalas!$B$6,Escalas!$B$7))+IF(H14="A",Escalas!$B$5,IF(H14="M",Escalas!$B$6,Escalas!$B$7))+IF(I14="A",Escalas!$B$5,IF(I14="M",Escalas!$B$6,Escalas!$B$7))</f>
        <v>6</v>
      </c>
      <c r="K14" s="12" t="str">
        <f aca="false">IF(J14&gt;=Escalas!$B$8,"Crítica",IF(J14&gt;=Escalas!$B$9,"Alta",IF(J14&gt;=Escalas!$B$10,"Media","Baja")))</f>
        <v>Media</v>
      </c>
      <c r="L14" s="5" t="s">
        <v>168</v>
      </c>
      <c r="M14" s="5" t="s">
        <v>109</v>
      </c>
      <c r="N14" s="5" t="s">
        <v>130</v>
      </c>
      <c r="O14" s="5" t="s">
        <v>169</v>
      </c>
    </row>
    <row r="15" customFormat="false" ht="23.25" hidden="false" customHeight="true" outlineLevel="0" collapsed="false">
      <c r="A15" s="13" t="s">
        <v>170</v>
      </c>
      <c r="B15" s="5" t="s">
        <v>171</v>
      </c>
      <c r="C15" s="5" t="s">
        <v>172</v>
      </c>
      <c r="D15" s="5" t="s">
        <v>173</v>
      </c>
      <c r="E15" s="12" t="s">
        <v>161</v>
      </c>
      <c r="F15" s="12" t="s">
        <v>174</v>
      </c>
      <c r="G15" s="10" t="s">
        <v>128</v>
      </c>
      <c r="H15" s="10" t="s">
        <v>106</v>
      </c>
      <c r="I15" s="10" t="s">
        <v>107</v>
      </c>
      <c r="J15" s="12" t="n">
        <f aca="false">IF(G15="A",Escalas!$B$5,IF(G15="M",Escalas!$B$6,Escalas!$B$7))+IF(H15="A",Escalas!$B$5,IF(H15="M",Escalas!$B$6,Escalas!$B$7))+IF(I15="A",Escalas!$B$5,IF(I15="M",Escalas!$B$6,Escalas!$B$7))</f>
        <v>6</v>
      </c>
      <c r="K15" s="12" t="str">
        <f aca="false">IF(J15&gt;=Escalas!$B$8,"Crítica",IF(J15&gt;=Escalas!$B$9,"Alta",IF(J15&gt;=Escalas!$B$10,"Media","Baja")))</f>
        <v>Media</v>
      </c>
      <c r="L15" s="5" t="s">
        <v>175</v>
      </c>
      <c r="M15" s="5" t="s">
        <v>109</v>
      </c>
      <c r="N15" s="5" t="s">
        <v>130</v>
      </c>
      <c r="O15" s="5" t="s">
        <v>176</v>
      </c>
    </row>
    <row r="16" customFormat="false" ht="23.25" hidden="false" customHeight="true" outlineLevel="0" collapsed="false">
      <c r="A16" s="13" t="s">
        <v>177</v>
      </c>
      <c r="B16" s="5" t="s">
        <v>178</v>
      </c>
      <c r="C16" s="5" t="s">
        <v>179</v>
      </c>
      <c r="D16" s="5" t="s">
        <v>180</v>
      </c>
      <c r="E16" s="12" t="s">
        <v>161</v>
      </c>
      <c r="F16" s="12" t="s">
        <v>174</v>
      </c>
      <c r="G16" s="10" t="s">
        <v>107</v>
      </c>
      <c r="H16" s="10" t="s">
        <v>106</v>
      </c>
      <c r="I16" s="10" t="s">
        <v>107</v>
      </c>
      <c r="J16" s="12" t="n">
        <f aca="false">IF(G16="A",Escalas!$B$5,IF(G16="M",Escalas!$B$6,Escalas!$B$7))+IF(H16="A",Escalas!$B$5,IF(H16="M",Escalas!$B$6,Escalas!$B$7))+IF(I16="A",Escalas!$B$5,IF(I16="M",Escalas!$B$6,Escalas!$B$7))</f>
        <v>7</v>
      </c>
      <c r="K16" s="12" t="str">
        <f aca="false">IF(J16&gt;=Escalas!$B$8,"Crítica",IF(J16&gt;=Escalas!$B$9,"Alta",IF(J16&gt;=Escalas!$B$10,"Media","Baja")))</f>
        <v>Alta</v>
      </c>
      <c r="L16" s="5" t="s">
        <v>181</v>
      </c>
      <c r="M16" s="5" t="s">
        <v>109</v>
      </c>
      <c r="N16" s="5" t="s">
        <v>182</v>
      </c>
      <c r="O16" s="5" t="s">
        <v>183</v>
      </c>
    </row>
    <row r="17" customFormat="false" ht="23.25" hidden="false" customHeight="true" outlineLevel="0" collapsed="false">
      <c r="A17" s="13" t="s">
        <v>184</v>
      </c>
      <c r="B17" s="5" t="s">
        <v>185</v>
      </c>
      <c r="C17" s="5" t="s">
        <v>186</v>
      </c>
      <c r="D17" s="5" t="s">
        <v>187</v>
      </c>
      <c r="E17" s="12" t="s">
        <v>188</v>
      </c>
      <c r="F17" s="12" t="s">
        <v>174</v>
      </c>
      <c r="G17" s="10" t="s">
        <v>107</v>
      </c>
      <c r="H17" s="10" t="s">
        <v>106</v>
      </c>
      <c r="I17" s="10" t="s">
        <v>107</v>
      </c>
      <c r="J17" s="12" t="n">
        <f aca="false">IF(G17="A",Escalas!$B$5,IF(G17="M",Escalas!$B$6,Escalas!$B$7))+IF(H17="A",Escalas!$B$5,IF(H17="M",Escalas!$B$6,Escalas!$B$7))+IF(I17="A",Escalas!$B$5,IF(I17="M",Escalas!$B$6,Escalas!$B$7))</f>
        <v>7</v>
      </c>
      <c r="K17" s="12" t="str">
        <f aca="false">IF(J17&gt;=Escalas!$B$8,"Crítica",IF(J17&gt;=Escalas!$B$9,"Alta",IF(J17&gt;=Escalas!$B$10,"Media","Baja")))</f>
        <v>Alta</v>
      </c>
      <c r="L17" s="5" t="s">
        <v>189</v>
      </c>
      <c r="M17" s="5" t="s">
        <v>109</v>
      </c>
      <c r="N17" s="5" t="s">
        <v>130</v>
      </c>
      <c r="O17" s="5" t="s">
        <v>190</v>
      </c>
    </row>
    <row r="18" customFormat="false" ht="34.5" hidden="false" customHeight="true" outlineLevel="0" collapsed="false">
      <c r="A18" s="13" t="s">
        <v>191</v>
      </c>
      <c r="B18" s="5" t="s">
        <v>192</v>
      </c>
      <c r="C18" s="5" t="s">
        <v>193</v>
      </c>
      <c r="D18" s="5" t="s">
        <v>194</v>
      </c>
      <c r="E18" s="12" t="s">
        <v>188</v>
      </c>
      <c r="F18" s="12" t="s">
        <v>105</v>
      </c>
      <c r="G18" s="10" t="s">
        <v>106</v>
      </c>
      <c r="H18" s="10" t="s">
        <v>106</v>
      </c>
      <c r="I18" s="10" t="s">
        <v>106</v>
      </c>
      <c r="J18" s="12" t="n">
        <f aca="false">IF(G18="A",Escalas!$B$5,IF(G18="M",Escalas!$B$6,Escalas!$B$7))+IF(H18="A",Escalas!$B$5,IF(H18="M",Escalas!$B$6,Escalas!$B$7))+IF(I18="A",Escalas!$B$5,IF(I18="M",Escalas!$B$6,Escalas!$B$7))</f>
        <v>9</v>
      </c>
      <c r="K18" s="12" t="str">
        <f aca="false">IF(J18&gt;=Escalas!$B$8,"Crítica",IF(J18&gt;=Escalas!$B$9,"Alta",IF(J18&gt;=Escalas!$B$10,"Media","Baja")))</f>
        <v>Crítica</v>
      </c>
      <c r="L18" s="5" t="s">
        <v>195</v>
      </c>
      <c r="M18" s="5" t="s">
        <v>109</v>
      </c>
      <c r="N18" s="5" t="s">
        <v>110</v>
      </c>
      <c r="O18" s="5" t="s">
        <v>196</v>
      </c>
    </row>
    <row r="19" customFormat="false" ht="23.25" hidden="false" customHeight="true" outlineLevel="0" collapsed="false">
      <c r="A19" s="13" t="s">
        <v>197</v>
      </c>
      <c r="B19" s="5" t="s">
        <v>198</v>
      </c>
      <c r="C19" s="5" t="s">
        <v>199</v>
      </c>
      <c r="D19" s="5" t="s">
        <v>200</v>
      </c>
      <c r="E19" s="12" t="s">
        <v>188</v>
      </c>
      <c r="F19" s="12" t="s">
        <v>105</v>
      </c>
      <c r="G19" s="10" t="s">
        <v>107</v>
      </c>
      <c r="H19" s="10" t="s">
        <v>106</v>
      </c>
      <c r="I19" s="10" t="s">
        <v>106</v>
      </c>
      <c r="J19" s="12" t="n">
        <f aca="false">IF(G19="A",Escalas!$B$5,IF(G19="M",Escalas!$B$6,Escalas!$B$7))+IF(H19="A",Escalas!$B$5,IF(H19="M",Escalas!$B$6,Escalas!$B$7))+IF(I19="A",Escalas!$B$5,IF(I19="M",Escalas!$B$6,Escalas!$B$7))</f>
        <v>8</v>
      </c>
      <c r="K19" s="12" t="str">
        <f aca="false">IF(J19&gt;=Escalas!$B$8,"Crítica",IF(J19&gt;=Escalas!$B$9,"Alta",IF(J19&gt;=Escalas!$B$10,"Media","Baja")))</f>
        <v>Alta</v>
      </c>
      <c r="L19" s="5" t="s">
        <v>201</v>
      </c>
      <c r="M19" s="5" t="s">
        <v>109</v>
      </c>
      <c r="N19" s="5" t="s">
        <v>130</v>
      </c>
      <c r="O19" s="5" t="s">
        <v>202</v>
      </c>
    </row>
    <row r="20" customFormat="false" ht="23.25" hidden="false" customHeight="true" outlineLevel="0" collapsed="false">
      <c r="A20" s="13" t="s">
        <v>203</v>
      </c>
      <c r="B20" s="5" t="s">
        <v>204</v>
      </c>
      <c r="C20" s="5" t="s">
        <v>205</v>
      </c>
      <c r="D20" s="5" t="s">
        <v>206</v>
      </c>
      <c r="E20" s="12" t="s">
        <v>188</v>
      </c>
      <c r="F20" s="12" t="s">
        <v>105</v>
      </c>
      <c r="G20" s="10" t="s">
        <v>106</v>
      </c>
      <c r="H20" s="10" t="s">
        <v>106</v>
      </c>
      <c r="I20" s="10" t="s">
        <v>106</v>
      </c>
      <c r="J20" s="12" t="n">
        <f aca="false">IF(G20="A",Escalas!$B$5,IF(G20="M",Escalas!$B$6,Escalas!$B$7))+IF(H20="A",Escalas!$B$5,IF(H20="M",Escalas!$B$6,Escalas!$B$7))+IF(I20="A",Escalas!$B$5,IF(I20="M",Escalas!$B$6,Escalas!$B$7))</f>
        <v>9</v>
      </c>
      <c r="K20" s="12" t="str">
        <f aca="false">IF(J20&gt;=Escalas!$B$8,"Crítica",IF(J20&gt;=Escalas!$B$9,"Alta",IF(J20&gt;=Escalas!$B$10,"Media","Baja")))</f>
        <v>Crítica</v>
      </c>
      <c r="L20" s="5" t="s">
        <v>207</v>
      </c>
      <c r="M20" s="5" t="s">
        <v>109</v>
      </c>
      <c r="N20" s="5" t="s">
        <v>130</v>
      </c>
      <c r="O20" s="5" t="s">
        <v>169</v>
      </c>
    </row>
    <row r="21" customFormat="false" ht="34.5" hidden="false" customHeight="true" outlineLevel="0" collapsed="false">
      <c r="A21" s="13" t="s">
        <v>208</v>
      </c>
      <c r="B21" s="5" t="s">
        <v>209</v>
      </c>
      <c r="C21" s="5" t="s">
        <v>210</v>
      </c>
      <c r="D21" s="5" t="s">
        <v>211</v>
      </c>
      <c r="E21" s="12" t="s">
        <v>188</v>
      </c>
      <c r="F21" s="12" t="s">
        <v>105</v>
      </c>
      <c r="G21" s="10" t="s">
        <v>107</v>
      </c>
      <c r="H21" s="10" t="s">
        <v>106</v>
      </c>
      <c r="I21" s="10" t="s">
        <v>106</v>
      </c>
      <c r="J21" s="12" t="n">
        <f aca="false">IF(G21="A",Escalas!$B$5,IF(G21="M",Escalas!$B$6,Escalas!$B$7))+IF(H21="A",Escalas!$B$5,IF(H21="M",Escalas!$B$6,Escalas!$B$7))+IF(I21="A",Escalas!$B$5,IF(I21="M",Escalas!$B$6,Escalas!$B$7))</f>
        <v>8</v>
      </c>
      <c r="K21" s="12" t="str">
        <f aca="false">IF(J21&gt;=Escalas!$B$8,"Crítica",IF(J21&gt;=Escalas!$B$9,"Alta",IF(J21&gt;=Escalas!$B$10,"Media","Baja")))</f>
        <v>Alta</v>
      </c>
      <c r="L21" s="5" t="s">
        <v>212</v>
      </c>
      <c r="M21" s="5" t="s">
        <v>109</v>
      </c>
      <c r="N21" s="5" t="s">
        <v>130</v>
      </c>
      <c r="O21" s="5" t="s">
        <v>130</v>
      </c>
    </row>
    <row r="22" customFormat="false" ht="23.25" hidden="false" customHeight="true" outlineLevel="0" collapsed="false">
      <c r="A22" s="13" t="s">
        <v>213</v>
      </c>
      <c r="B22" s="5" t="s">
        <v>214</v>
      </c>
      <c r="C22" s="5" t="s">
        <v>210</v>
      </c>
      <c r="D22" s="5" t="s">
        <v>215</v>
      </c>
      <c r="E22" s="12" t="s">
        <v>161</v>
      </c>
      <c r="F22" s="12" t="s">
        <v>105</v>
      </c>
      <c r="G22" s="10" t="s">
        <v>128</v>
      </c>
      <c r="H22" s="10" t="s">
        <v>106</v>
      </c>
      <c r="I22" s="10" t="s">
        <v>107</v>
      </c>
      <c r="J22" s="12" t="n">
        <f aca="false">IF(G22="A",Escalas!$B$5,IF(G22="M",Escalas!$B$6,Escalas!$B$7))+IF(H22="A",Escalas!$B$5,IF(H22="M",Escalas!$B$6,Escalas!$B$7))+IF(I22="A",Escalas!$B$5,IF(I22="M",Escalas!$B$6,Escalas!$B$7))</f>
        <v>6</v>
      </c>
      <c r="K22" s="12" t="str">
        <f aca="false">IF(J22&gt;=Escalas!$B$8,"Crítica",IF(J22&gt;=Escalas!$B$9,"Alta",IF(J22&gt;=Escalas!$B$10,"Media","Baja")))</f>
        <v>Media</v>
      </c>
      <c r="L22" s="5" t="s">
        <v>216</v>
      </c>
      <c r="M22" s="5" t="s">
        <v>109</v>
      </c>
      <c r="N22" s="5" t="s">
        <v>130</v>
      </c>
      <c r="O22" s="5" t="s">
        <v>217</v>
      </c>
    </row>
    <row r="23" customFormat="false" ht="23.25" hidden="false" customHeight="true" outlineLevel="0" collapsed="false">
      <c r="A23" s="13" t="s">
        <v>218</v>
      </c>
      <c r="B23" s="5" t="s">
        <v>219</v>
      </c>
      <c r="C23" s="5" t="s">
        <v>220</v>
      </c>
      <c r="D23" s="5" t="s">
        <v>221</v>
      </c>
      <c r="E23" s="12" t="s">
        <v>188</v>
      </c>
      <c r="F23" s="12" t="s">
        <v>222</v>
      </c>
      <c r="G23" s="10" t="s">
        <v>107</v>
      </c>
      <c r="H23" s="10" t="s">
        <v>106</v>
      </c>
      <c r="I23" s="10" t="s">
        <v>106</v>
      </c>
      <c r="J23" s="12" t="n">
        <f aca="false">IF(G23="A",Escalas!$B$5,IF(G23="M",Escalas!$B$6,Escalas!$B$7))+IF(H23="A",Escalas!$B$5,IF(H23="M",Escalas!$B$6,Escalas!$B$7))+IF(I23="A",Escalas!$B$5,IF(I23="M",Escalas!$B$6,Escalas!$B$7))</f>
        <v>8</v>
      </c>
      <c r="K23" s="12" t="str">
        <f aca="false">IF(J23&gt;=Escalas!$B$8,"Crítica",IF(J23&gt;=Escalas!$B$9,"Alta",IF(J23&gt;=Escalas!$B$10,"Media","Baja")))</f>
        <v>Alta</v>
      </c>
      <c r="L23" s="5" t="s">
        <v>223</v>
      </c>
      <c r="M23" s="5" t="s">
        <v>109</v>
      </c>
      <c r="N23" s="5" t="s">
        <v>130</v>
      </c>
      <c r="O23" s="5" t="s">
        <v>130</v>
      </c>
    </row>
    <row r="24" customFormat="false" ht="23.25" hidden="false" customHeight="true" outlineLevel="0" collapsed="false">
      <c r="A24" s="13" t="s">
        <v>224</v>
      </c>
      <c r="B24" s="5" t="s">
        <v>225</v>
      </c>
      <c r="C24" s="5" t="s">
        <v>210</v>
      </c>
      <c r="D24" s="5" t="s">
        <v>226</v>
      </c>
      <c r="E24" s="12" t="s">
        <v>161</v>
      </c>
      <c r="F24" s="12" t="s">
        <v>174</v>
      </c>
      <c r="G24" s="10" t="s">
        <v>107</v>
      </c>
      <c r="H24" s="10" t="s">
        <v>106</v>
      </c>
      <c r="I24" s="10" t="s">
        <v>107</v>
      </c>
      <c r="J24" s="12" t="n">
        <f aca="false">IF(G24="A",Escalas!$B$5,IF(G24="M",Escalas!$B$6,Escalas!$B$7))+IF(H24="A",Escalas!$B$5,IF(H24="M",Escalas!$B$6,Escalas!$B$7))+IF(I24="A",Escalas!$B$5,IF(I24="M",Escalas!$B$6,Escalas!$B$7))</f>
        <v>7</v>
      </c>
      <c r="K24" s="12" t="str">
        <f aca="false">IF(J24&gt;=Escalas!$B$8,"Crítica",IF(J24&gt;=Escalas!$B$9,"Alta",IF(J24&gt;=Escalas!$B$10,"Media","Baja")))</f>
        <v>Alta</v>
      </c>
      <c r="L24" s="5" t="s">
        <v>227</v>
      </c>
      <c r="M24" s="5" t="s">
        <v>109</v>
      </c>
      <c r="N24" s="5" t="s">
        <v>130</v>
      </c>
      <c r="O24" s="5" t="s">
        <v>176</v>
      </c>
    </row>
    <row r="25" customFormat="false" ht="23.25" hidden="false" customHeight="true" outlineLevel="0" collapsed="false">
      <c r="A25" s="13" t="s">
        <v>228</v>
      </c>
      <c r="B25" s="5" t="s">
        <v>229</v>
      </c>
      <c r="C25" s="5" t="s">
        <v>230</v>
      </c>
      <c r="D25" s="5" t="s">
        <v>231</v>
      </c>
      <c r="E25" s="12" t="s">
        <v>232</v>
      </c>
      <c r="F25" s="12" t="s">
        <v>105</v>
      </c>
      <c r="G25" s="10" t="s">
        <v>106</v>
      </c>
      <c r="H25" s="10" t="s">
        <v>106</v>
      </c>
      <c r="I25" s="10" t="s">
        <v>107</v>
      </c>
      <c r="J25" s="12" t="n">
        <f aca="false">IF(G25="A",Escalas!$B$5,IF(G25="M",Escalas!$B$6,Escalas!$B$7))+IF(H25="A",Escalas!$B$5,IF(H25="M",Escalas!$B$6,Escalas!$B$7))+IF(I25="A",Escalas!$B$5,IF(I25="M",Escalas!$B$6,Escalas!$B$7))</f>
        <v>8</v>
      </c>
      <c r="K25" s="12" t="str">
        <f aca="false">IF(J25&gt;=Escalas!$B$8,"Crítica",IF(J25&gt;=Escalas!$B$9,"Alta",IF(J25&gt;=Escalas!$B$10,"Media","Baja")))</f>
        <v>Alta</v>
      </c>
      <c r="L25" s="5" t="s">
        <v>233</v>
      </c>
      <c r="M25" s="5" t="s">
        <v>109</v>
      </c>
      <c r="N25" s="5" t="s">
        <v>109</v>
      </c>
      <c r="O25" s="5" t="s">
        <v>234</v>
      </c>
    </row>
    <row r="26" customFormat="false" ht="23.25" hidden="false" customHeight="true" outlineLevel="0" collapsed="false">
      <c r="A26" s="13" t="s">
        <v>235</v>
      </c>
      <c r="B26" s="5" t="s">
        <v>236</v>
      </c>
      <c r="C26" s="5" t="s">
        <v>237</v>
      </c>
      <c r="D26" s="5" t="s">
        <v>238</v>
      </c>
      <c r="E26" s="12" t="s">
        <v>239</v>
      </c>
      <c r="F26" s="12" t="s">
        <v>240</v>
      </c>
      <c r="G26" s="10" t="s">
        <v>106</v>
      </c>
      <c r="H26" s="10" t="s">
        <v>107</v>
      </c>
      <c r="I26" s="10" t="s">
        <v>107</v>
      </c>
      <c r="J26" s="12" t="n">
        <f aca="false">IF(G26="A",Escalas!$B$5,IF(G26="M",Escalas!$B$6,Escalas!$B$7))+IF(H26="A",Escalas!$B$5,IF(H26="M",Escalas!$B$6,Escalas!$B$7))+IF(I26="A",Escalas!$B$5,IF(I26="M",Escalas!$B$6,Escalas!$B$7))</f>
        <v>7</v>
      </c>
      <c r="K26" s="12" t="str">
        <f aca="false">IF(J26&gt;=Escalas!$B$8,"Crítica",IF(J26&gt;=Escalas!$B$9,"Alta",IF(J26&gt;=Escalas!$B$10,"Media","Baja")))</f>
        <v>Alta</v>
      </c>
      <c r="L26" s="5" t="s">
        <v>241</v>
      </c>
      <c r="M26" s="5" t="s">
        <v>109</v>
      </c>
      <c r="N26" s="5" t="s">
        <v>109</v>
      </c>
      <c r="O26" s="5" t="s">
        <v>109</v>
      </c>
    </row>
    <row r="27" customFormat="false" ht="23.25" hidden="false" customHeight="true" outlineLevel="0" collapsed="false">
      <c r="A27" s="13" t="s">
        <v>242</v>
      </c>
      <c r="B27" s="5" t="s">
        <v>243</v>
      </c>
      <c r="C27" s="5" t="s">
        <v>244</v>
      </c>
      <c r="D27" s="5" t="s">
        <v>245</v>
      </c>
      <c r="E27" s="12" t="s">
        <v>246</v>
      </c>
      <c r="F27" s="12" t="s">
        <v>222</v>
      </c>
      <c r="G27" s="10" t="s">
        <v>106</v>
      </c>
      <c r="H27" s="10" t="s">
        <v>106</v>
      </c>
      <c r="I27" s="10" t="s">
        <v>106</v>
      </c>
      <c r="J27" s="12" t="n">
        <f aca="false">IF(G27="A",Escalas!$B$5,IF(G27="M",Escalas!$B$6,Escalas!$B$7))+IF(H27="A",Escalas!$B$5,IF(H27="M",Escalas!$B$6,Escalas!$B$7))+IF(I27="A",Escalas!$B$5,IF(I27="M",Escalas!$B$6,Escalas!$B$7))</f>
        <v>9</v>
      </c>
      <c r="K27" s="12" t="str">
        <f aca="false">IF(J27&gt;=Escalas!$B$8,"Crítica",IF(J27&gt;=Escalas!$B$9,"Alta",IF(J27&gt;=Escalas!$B$10,"Media","Baja")))</f>
        <v>Crítica</v>
      </c>
      <c r="L27" s="5" t="s">
        <v>247</v>
      </c>
      <c r="M27" s="5" t="s">
        <v>248</v>
      </c>
      <c r="N27" s="5" t="s">
        <v>248</v>
      </c>
      <c r="O27" s="5" t="s">
        <v>130</v>
      </c>
    </row>
    <row r="28" customFormat="false" ht="23.25" hidden="false" customHeight="true" outlineLevel="0" collapsed="false">
      <c r="A28" s="13" t="s">
        <v>249</v>
      </c>
      <c r="B28" s="5" t="s">
        <v>250</v>
      </c>
      <c r="C28" s="5" t="s">
        <v>251</v>
      </c>
      <c r="D28" s="5" t="s">
        <v>252</v>
      </c>
      <c r="E28" s="12" t="s">
        <v>246</v>
      </c>
      <c r="F28" s="12" t="s">
        <v>105</v>
      </c>
      <c r="G28" s="10" t="s">
        <v>128</v>
      </c>
      <c r="H28" s="10" t="s">
        <v>106</v>
      </c>
      <c r="I28" s="10" t="s">
        <v>107</v>
      </c>
      <c r="J28" s="12" t="n">
        <f aca="false">IF(G28="A",Escalas!$B$5,IF(G28="M",Escalas!$B$6,Escalas!$B$7))+IF(H28="A",Escalas!$B$5,IF(H28="M",Escalas!$B$6,Escalas!$B$7))+IF(I28="A",Escalas!$B$5,IF(I28="M",Escalas!$B$6,Escalas!$B$7))</f>
        <v>6</v>
      </c>
      <c r="K28" s="12" t="str">
        <f aca="false">IF(J28&gt;=Escalas!$B$8,"Crítica",IF(J28&gt;=Escalas!$B$9,"Alta",IF(J28&gt;=Escalas!$B$10,"Media","Baja")))</f>
        <v>Media</v>
      </c>
      <c r="L28" s="5" t="s">
        <v>253</v>
      </c>
      <c r="M28" s="5" t="s">
        <v>109</v>
      </c>
      <c r="N28" s="5" t="s">
        <v>109</v>
      </c>
      <c r="O28" s="5" t="s">
        <v>254</v>
      </c>
    </row>
    <row r="30" customFormat="false" ht="15" hidden="false" customHeight="true" outlineLevel="0" collapsed="false">
      <c r="B30" s="4" t="s">
        <v>255</v>
      </c>
      <c r="C30" s="14" t="s">
        <v>6</v>
      </c>
    </row>
    <row r="31" customFormat="false" ht="15" hidden="false" customHeight="true" outlineLevel="0" collapsed="false">
      <c r="B31" s="5" t="s">
        <v>256</v>
      </c>
      <c r="C31" s="12" t="n">
        <f aca="false">COUNTIF($K$5:$K$28,B31)</f>
        <v>4</v>
      </c>
    </row>
    <row r="32" customFormat="false" ht="15" hidden="false" customHeight="true" outlineLevel="0" collapsed="false">
      <c r="B32" s="5" t="s">
        <v>257</v>
      </c>
      <c r="C32" s="12" t="n">
        <f aca="false">COUNTIF($K$5:$K$28,B32)</f>
        <v>14</v>
      </c>
    </row>
    <row r="33" customFormat="false" ht="15" hidden="false" customHeight="true" outlineLevel="0" collapsed="false">
      <c r="B33" s="5" t="s">
        <v>258</v>
      </c>
      <c r="C33" s="12" t="n">
        <f aca="false">COUNTIF($K$5:$K$28,B33)</f>
        <v>6</v>
      </c>
    </row>
    <row r="34" customFormat="false" ht="15" hidden="false" customHeight="true" outlineLevel="0" collapsed="false">
      <c r="B34" s="5" t="s">
        <v>259</v>
      </c>
      <c r="C34" s="12" t="n">
        <f aca="false">COUNTIF($K$5:$K$28,B34)</f>
        <v>0</v>
      </c>
    </row>
    <row r="35" customFormat="false" ht="15" hidden="false" customHeight="true" outlineLevel="0" collapsed="false">
      <c r="B35" s="11" t="s">
        <v>260</v>
      </c>
      <c r="C35" s="13" t="n">
        <f aca="false">SUM(C31:C34)</f>
        <v>24</v>
      </c>
    </row>
  </sheetData>
  <autoFilter ref="A4:O28"/>
  <dataValidations count="3">
    <dataValidation allowBlank="false" errorStyle="stop" operator="between" showDropDown="false" showErrorMessage="false" showInputMessage="false" sqref="E5:E28" type="list">
      <formula1>"Información,Software,Físico,Personal,Servicios,Empresa"</formula1>
      <formula2>0</formula2>
    </dataValidation>
    <dataValidation allowBlank="false" errorStyle="stop" operator="between" showDropDown="false" showErrorMessage="false" showInputMessage="false" sqref="F5:F28" type="list">
      <formula1>"Local,Cloud,Dispositivo móvil,Repositorio"</formula1>
      <formula2>0</formula2>
    </dataValidation>
    <dataValidation allowBlank="false" errorStyle="stop" operator="between" showDropDown="false" showErrorMessage="false" showInputMessage="false" sqref="G5:I28" type="list">
      <formula1>"A,M,B"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6"/>
    <col collapsed="false" customWidth="true" hidden="false" outlineLevel="0" max="3" min="3" style="1" width="20"/>
    <col collapsed="false" customWidth="true" hidden="false" outlineLevel="0" max="9" min="4" style="1" width="5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261</v>
      </c>
    </row>
    <row r="2" customFormat="false" ht="15" hidden="false" customHeight="true" outlineLevel="0" collapsed="false">
      <c r="A2" s="3" t="s">
        <v>262</v>
      </c>
    </row>
    <row r="4" customFormat="false" ht="31.5" hidden="false" customHeight="true" outlineLevel="0" collapsed="false">
      <c r="A4" s="9" t="s">
        <v>88</v>
      </c>
      <c r="B4" s="9" t="s">
        <v>263</v>
      </c>
      <c r="C4" s="9" t="s">
        <v>264</v>
      </c>
      <c r="D4" s="9" t="s">
        <v>265</v>
      </c>
      <c r="E4" s="9" t="s">
        <v>266</v>
      </c>
      <c r="F4" s="9" t="s">
        <v>267</v>
      </c>
      <c r="G4" s="9" t="s">
        <v>268</v>
      </c>
      <c r="H4" s="9" t="s">
        <v>269</v>
      </c>
      <c r="I4" s="9" t="s">
        <v>270</v>
      </c>
      <c r="J4" s="9" t="s">
        <v>271</v>
      </c>
    </row>
    <row r="5" customFormat="false" ht="23.25" hidden="false" customHeight="true" outlineLevel="0" collapsed="false">
      <c r="A5" s="13" t="s">
        <v>272</v>
      </c>
      <c r="B5" s="5" t="s">
        <v>273</v>
      </c>
      <c r="C5" s="12" t="s">
        <v>274</v>
      </c>
      <c r="D5" s="10" t="s">
        <v>275</v>
      </c>
      <c r="E5" s="10"/>
      <c r="F5" s="10"/>
      <c r="G5" s="10"/>
      <c r="H5" s="10"/>
      <c r="I5" s="10"/>
      <c r="J5" s="5" t="s">
        <v>276</v>
      </c>
    </row>
    <row r="6" customFormat="false" ht="15" hidden="false" customHeight="true" outlineLevel="0" collapsed="false">
      <c r="A6" s="13" t="s">
        <v>277</v>
      </c>
      <c r="B6" s="5" t="s">
        <v>278</v>
      </c>
      <c r="C6" s="12" t="s">
        <v>279</v>
      </c>
      <c r="D6" s="10" t="s">
        <v>275</v>
      </c>
      <c r="E6" s="10"/>
      <c r="F6" s="10"/>
      <c r="G6" s="10"/>
      <c r="H6" s="10"/>
      <c r="I6" s="10"/>
      <c r="J6" s="5" t="s">
        <v>280</v>
      </c>
    </row>
    <row r="7" customFormat="false" ht="15" hidden="false" customHeight="true" outlineLevel="0" collapsed="false">
      <c r="A7" s="13" t="s">
        <v>281</v>
      </c>
      <c r="B7" s="5" t="s">
        <v>282</v>
      </c>
      <c r="C7" s="12" t="s">
        <v>203</v>
      </c>
      <c r="D7" s="10" t="s">
        <v>275</v>
      </c>
      <c r="E7" s="10"/>
      <c r="F7" s="10"/>
      <c r="G7" s="10"/>
      <c r="H7" s="10"/>
      <c r="I7" s="10"/>
      <c r="J7" s="5" t="s">
        <v>283</v>
      </c>
    </row>
    <row r="8" customFormat="false" ht="15" hidden="false" customHeight="true" outlineLevel="0" collapsed="false">
      <c r="A8" s="13" t="s">
        <v>284</v>
      </c>
      <c r="B8" s="5" t="s">
        <v>285</v>
      </c>
      <c r="C8" s="12" t="s">
        <v>286</v>
      </c>
      <c r="D8" s="10" t="s">
        <v>275</v>
      </c>
      <c r="E8" s="10"/>
      <c r="F8" s="10"/>
      <c r="G8" s="10" t="s">
        <v>275</v>
      </c>
      <c r="H8" s="10"/>
      <c r="I8" s="10"/>
      <c r="J8" s="5" t="s">
        <v>287</v>
      </c>
    </row>
    <row r="9" customFormat="false" ht="23.25" hidden="false" customHeight="true" outlineLevel="0" collapsed="false">
      <c r="A9" s="13" t="s">
        <v>288</v>
      </c>
      <c r="B9" s="5" t="s">
        <v>289</v>
      </c>
      <c r="C9" s="12" t="s">
        <v>290</v>
      </c>
      <c r="D9" s="10"/>
      <c r="E9" s="10" t="s">
        <v>275</v>
      </c>
      <c r="F9" s="10"/>
      <c r="G9" s="10"/>
      <c r="H9" s="10"/>
      <c r="I9" s="10" t="s">
        <v>275</v>
      </c>
      <c r="J9" s="5" t="s">
        <v>291</v>
      </c>
    </row>
    <row r="10" customFormat="false" ht="23.25" hidden="false" customHeight="true" outlineLevel="0" collapsed="false">
      <c r="A10" s="13" t="s">
        <v>292</v>
      </c>
      <c r="B10" s="5" t="s">
        <v>293</v>
      </c>
      <c r="C10" s="12" t="s">
        <v>294</v>
      </c>
      <c r="D10" s="10"/>
      <c r="E10" s="10" t="s">
        <v>275</v>
      </c>
      <c r="F10" s="10"/>
      <c r="G10" s="10" t="s">
        <v>275</v>
      </c>
      <c r="H10" s="10"/>
      <c r="I10" s="10" t="s">
        <v>275</v>
      </c>
      <c r="J10" s="5" t="s">
        <v>295</v>
      </c>
    </row>
    <row r="11" customFormat="false" ht="23.25" hidden="false" customHeight="true" outlineLevel="0" collapsed="false">
      <c r="A11" s="13" t="s">
        <v>296</v>
      </c>
      <c r="B11" s="5" t="s">
        <v>297</v>
      </c>
      <c r="C11" s="12" t="s">
        <v>298</v>
      </c>
      <c r="D11" s="10"/>
      <c r="E11" s="10" t="s">
        <v>275</v>
      </c>
      <c r="F11" s="10"/>
      <c r="G11" s="10" t="s">
        <v>275</v>
      </c>
      <c r="H11" s="10"/>
      <c r="I11" s="10"/>
      <c r="J11" s="5" t="s">
        <v>299</v>
      </c>
    </row>
    <row r="12" customFormat="false" ht="23.25" hidden="false" customHeight="true" outlineLevel="0" collapsed="false">
      <c r="A12" s="13" t="s">
        <v>300</v>
      </c>
      <c r="B12" s="5" t="s">
        <v>301</v>
      </c>
      <c r="C12" s="12" t="s">
        <v>302</v>
      </c>
      <c r="D12" s="10"/>
      <c r="E12" s="10"/>
      <c r="F12" s="10"/>
      <c r="G12" s="10"/>
      <c r="H12" s="10"/>
      <c r="I12" s="10" t="s">
        <v>275</v>
      </c>
      <c r="J12" s="5" t="s">
        <v>303</v>
      </c>
    </row>
    <row r="13" customFormat="false" ht="23.25" hidden="false" customHeight="true" outlineLevel="0" collapsed="false">
      <c r="A13" s="13" t="s">
        <v>304</v>
      </c>
      <c r="B13" s="5" t="s">
        <v>305</v>
      </c>
      <c r="C13" s="12" t="s">
        <v>306</v>
      </c>
      <c r="D13" s="10"/>
      <c r="E13" s="10" t="s">
        <v>275</v>
      </c>
      <c r="F13" s="10"/>
      <c r="G13" s="10"/>
      <c r="H13" s="10"/>
      <c r="I13" s="10" t="s">
        <v>275</v>
      </c>
      <c r="J13" s="5" t="s">
        <v>307</v>
      </c>
    </row>
    <row r="14" customFormat="false" ht="15" hidden="false" customHeight="true" outlineLevel="0" collapsed="false">
      <c r="A14" s="13" t="s">
        <v>308</v>
      </c>
      <c r="B14" s="5" t="s">
        <v>309</v>
      </c>
      <c r="C14" s="12" t="s">
        <v>125</v>
      </c>
      <c r="D14" s="10"/>
      <c r="E14" s="10"/>
      <c r="F14" s="10"/>
      <c r="G14" s="10" t="s">
        <v>275</v>
      </c>
      <c r="H14" s="10"/>
      <c r="I14" s="10"/>
      <c r="J14" s="5" t="s">
        <v>310</v>
      </c>
    </row>
    <row r="15" customFormat="false" ht="15" hidden="false" customHeight="true" outlineLevel="0" collapsed="false">
      <c r="A15" s="13" t="s">
        <v>311</v>
      </c>
      <c r="B15" s="5" t="s">
        <v>312</v>
      </c>
      <c r="C15" s="12" t="s">
        <v>112</v>
      </c>
      <c r="D15" s="10"/>
      <c r="E15" s="10"/>
      <c r="F15" s="10"/>
      <c r="G15" s="10" t="s">
        <v>275</v>
      </c>
      <c r="H15" s="10"/>
      <c r="I15" s="10"/>
      <c r="J15" s="5" t="s">
        <v>313</v>
      </c>
    </row>
    <row r="16" customFormat="false" ht="15" hidden="false" customHeight="true" outlineLevel="0" collapsed="false">
      <c r="A16" s="13" t="s">
        <v>314</v>
      </c>
      <c r="B16" s="5" t="s">
        <v>315</v>
      </c>
      <c r="C16" s="12" t="s">
        <v>316</v>
      </c>
      <c r="D16" s="10"/>
      <c r="E16" s="10"/>
      <c r="F16" s="10"/>
      <c r="G16" s="10" t="s">
        <v>275</v>
      </c>
      <c r="H16" s="10"/>
      <c r="I16" s="10"/>
      <c r="J16" s="5" t="s">
        <v>317</v>
      </c>
    </row>
    <row r="17" customFormat="false" ht="15" hidden="false" customHeight="true" outlineLevel="0" collapsed="false">
      <c r="A17" s="13" t="s">
        <v>318</v>
      </c>
      <c r="B17" s="5" t="s">
        <v>319</v>
      </c>
      <c r="C17" s="12" t="s">
        <v>320</v>
      </c>
      <c r="D17" s="10"/>
      <c r="E17" s="10"/>
      <c r="F17" s="10"/>
      <c r="G17" s="10" t="s">
        <v>275</v>
      </c>
      <c r="H17" s="10"/>
      <c r="I17" s="10"/>
      <c r="J17" s="5" t="s">
        <v>321</v>
      </c>
    </row>
    <row r="18" customFormat="false" ht="15" hidden="false" customHeight="true" outlineLevel="0" collapsed="false">
      <c r="A18" s="13" t="s">
        <v>322</v>
      </c>
      <c r="B18" s="5" t="s">
        <v>323</v>
      </c>
      <c r="C18" s="12" t="s">
        <v>324</v>
      </c>
      <c r="D18" s="10"/>
      <c r="E18" s="10"/>
      <c r="F18" s="10" t="s">
        <v>275</v>
      </c>
      <c r="G18" s="10"/>
      <c r="H18" s="10"/>
      <c r="I18" s="10"/>
      <c r="J18" s="5" t="s">
        <v>325</v>
      </c>
    </row>
    <row r="19" customFormat="false" ht="15" hidden="false" customHeight="true" outlineLevel="0" collapsed="false">
      <c r="A19" s="13" t="s">
        <v>326</v>
      </c>
      <c r="B19" s="5" t="s">
        <v>327</v>
      </c>
      <c r="C19" s="12" t="s">
        <v>137</v>
      </c>
      <c r="D19" s="10"/>
      <c r="E19" s="10" t="s">
        <v>275</v>
      </c>
      <c r="F19" s="10" t="s">
        <v>275</v>
      </c>
      <c r="G19" s="10"/>
      <c r="H19" s="10"/>
      <c r="I19" s="10"/>
      <c r="J19" s="5" t="s">
        <v>328</v>
      </c>
    </row>
    <row r="20" customFormat="false" ht="15" hidden="false" customHeight="true" outlineLevel="0" collapsed="false">
      <c r="A20" s="13" t="s">
        <v>329</v>
      </c>
      <c r="B20" s="5" t="s">
        <v>330</v>
      </c>
      <c r="C20" s="12" t="s">
        <v>331</v>
      </c>
      <c r="D20" s="10"/>
      <c r="E20" s="10"/>
      <c r="F20" s="10"/>
      <c r="G20" s="10"/>
      <c r="H20" s="10" t="s">
        <v>275</v>
      </c>
      <c r="I20" s="10"/>
      <c r="J20" s="5" t="s">
        <v>332</v>
      </c>
    </row>
    <row r="21" customFormat="false" ht="23.25" hidden="false" customHeight="true" outlineLevel="0" collapsed="false">
      <c r="A21" s="13" t="s">
        <v>333</v>
      </c>
      <c r="B21" s="5" t="s">
        <v>334</v>
      </c>
      <c r="C21" s="12" t="s">
        <v>335</v>
      </c>
      <c r="D21" s="10"/>
      <c r="E21" s="10"/>
      <c r="F21" s="10"/>
      <c r="G21" s="10"/>
      <c r="H21" s="10" t="s">
        <v>275</v>
      </c>
      <c r="I21" s="10"/>
      <c r="J21" s="5" t="s">
        <v>336</v>
      </c>
    </row>
    <row r="22" customFormat="false" ht="15" hidden="false" customHeight="true" outlineLevel="0" collapsed="false">
      <c r="A22" s="13" t="s">
        <v>337</v>
      </c>
      <c r="B22" s="5" t="s">
        <v>338</v>
      </c>
      <c r="C22" s="12" t="s">
        <v>170</v>
      </c>
      <c r="D22" s="10"/>
      <c r="E22" s="10" t="s">
        <v>275</v>
      </c>
      <c r="F22" s="10"/>
      <c r="G22" s="10"/>
      <c r="H22" s="10"/>
      <c r="I22" s="10" t="s">
        <v>275</v>
      </c>
      <c r="J22" s="5" t="s">
        <v>339</v>
      </c>
    </row>
    <row r="23" customFormat="false" ht="15" hidden="false" customHeight="true" outlineLevel="0" collapsed="false">
      <c r="A23" s="13" t="s">
        <v>340</v>
      </c>
      <c r="B23" s="5" t="s">
        <v>341</v>
      </c>
      <c r="C23" s="12" t="s">
        <v>342</v>
      </c>
      <c r="D23" s="10"/>
      <c r="E23" s="10" t="s">
        <v>275</v>
      </c>
      <c r="F23" s="10"/>
      <c r="G23" s="10"/>
      <c r="H23" s="10"/>
      <c r="I23" s="10" t="s">
        <v>275</v>
      </c>
      <c r="J23" s="5" t="s">
        <v>343</v>
      </c>
    </row>
    <row r="24" customFormat="false" ht="15" hidden="false" customHeight="true" outlineLevel="0" collapsed="false">
      <c r="A24" s="13" t="s">
        <v>344</v>
      </c>
      <c r="B24" s="5" t="s">
        <v>345</v>
      </c>
      <c r="C24" s="12" t="s">
        <v>346</v>
      </c>
      <c r="D24" s="10"/>
      <c r="E24" s="10" t="s">
        <v>275</v>
      </c>
      <c r="F24" s="10"/>
      <c r="G24" s="10"/>
      <c r="H24" s="10"/>
      <c r="I24" s="10" t="s">
        <v>275</v>
      </c>
      <c r="J24" s="5" t="s">
        <v>347</v>
      </c>
    </row>
    <row r="25" customFormat="false" ht="15" hidden="false" customHeight="true" outlineLevel="0" collapsed="false">
      <c r="A25" s="13" t="s">
        <v>348</v>
      </c>
      <c r="B25" s="5" t="s">
        <v>349</v>
      </c>
      <c r="C25" s="12" t="s">
        <v>350</v>
      </c>
      <c r="D25" s="10"/>
      <c r="E25" s="10"/>
      <c r="F25" s="10"/>
      <c r="G25" s="10" t="s">
        <v>275</v>
      </c>
      <c r="H25" s="10"/>
      <c r="I25" s="10" t="s">
        <v>275</v>
      </c>
      <c r="J25" s="5" t="s">
        <v>351</v>
      </c>
    </row>
    <row r="26" customFormat="false" ht="15" hidden="false" customHeight="true" outlineLevel="0" collapsed="false">
      <c r="A26" s="13" t="s">
        <v>352</v>
      </c>
      <c r="B26" s="5" t="s">
        <v>353</v>
      </c>
      <c r="C26" s="12" t="s">
        <v>354</v>
      </c>
      <c r="D26" s="10"/>
      <c r="E26" s="10"/>
      <c r="F26" s="10"/>
      <c r="G26" s="10"/>
      <c r="H26" s="10"/>
      <c r="I26" s="10" t="s">
        <v>275</v>
      </c>
      <c r="J26" s="5" t="s">
        <v>355</v>
      </c>
    </row>
    <row r="27" customFormat="false" ht="15" hidden="false" customHeight="true" outlineLevel="0" collapsed="false">
      <c r="A27" s="13" t="s">
        <v>356</v>
      </c>
      <c r="B27" s="5" t="s">
        <v>357</v>
      </c>
      <c r="C27" s="12" t="s">
        <v>358</v>
      </c>
      <c r="D27" s="10"/>
      <c r="E27" s="10"/>
      <c r="F27" s="10"/>
      <c r="G27" s="10" t="s">
        <v>275</v>
      </c>
      <c r="H27" s="10"/>
      <c r="I27" s="10"/>
      <c r="J27" s="5" t="s">
        <v>359</v>
      </c>
    </row>
    <row r="28" customFormat="false" ht="23.25" hidden="false" customHeight="true" outlineLevel="0" collapsed="false">
      <c r="A28" s="13" t="s">
        <v>360</v>
      </c>
      <c r="B28" s="5" t="s">
        <v>361</v>
      </c>
      <c r="C28" s="12" t="s">
        <v>362</v>
      </c>
      <c r="D28" s="10"/>
      <c r="E28" s="10"/>
      <c r="F28" s="10"/>
      <c r="G28" s="10" t="s">
        <v>275</v>
      </c>
      <c r="H28" s="10"/>
      <c r="I28" s="10" t="s">
        <v>275</v>
      </c>
      <c r="J28" s="5" t="s">
        <v>363</v>
      </c>
    </row>
    <row r="29" customFormat="false" ht="23.25" hidden="false" customHeight="true" outlineLevel="0" collapsed="false">
      <c r="A29" s="13" t="s">
        <v>364</v>
      </c>
      <c r="B29" s="5" t="s">
        <v>365</v>
      </c>
      <c r="C29" s="12" t="s">
        <v>366</v>
      </c>
      <c r="D29" s="10"/>
      <c r="E29" s="10"/>
      <c r="F29" s="10"/>
      <c r="G29" s="10"/>
      <c r="H29" s="10" t="s">
        <v>275</v>
      </c>
      <c r="I29" s="10"/>
      <c r="J29" s="5" t="s">
        <v>367</v>
      </c>
    </row>
    <row r="30" customFormat="false" ht="23.25" hidden="false" customHeight="true" outlineLevel="0" collapsed="false">
      <c r="A30" s="13" t="s">
        <v>368</v>
      </c>
      <c r="B30" s="5" t="s">
        <v>369</v>
      </c>
      <c r="C30" s="12" t="s">
        <v>370</v>
      </c>
      <c r="D30" s="10" t="s">
        <v>275</v>
      </c>
      <c r="E30" s="10"/>
      <c r="F30" s="10"/>
      <c r="G30" s="10"/>
      <c r="H30" s="10" t="s">
        <v>275</v>
      </c>
      <c r="I30" s="10"/>
      <c r="J30" s="5" t="s">
        <v>371</v>
      </c>
    </row>
    <row r="31" customFormat="false" ht="15" hidden="false" customHeight="true" outlineLevel="0" collapsed="false">
      <c r="A31" s="13" t="s">
        <v>372</v>
      </c>
      <c r="B31" s="5" t="s">
        <v>373</v>
      </c>
      <c r="C31" s="12" t="s">
        <v>228</v>
      </c>
      <c r="D31" s="10" t="s">
        <v>275</v>
      </c>
      <c r="E31" s="10"/>
      <c r="F31" s="10"/>
      <c r="G31" s="10"/>
      <c r="H31" s="10"/>
      <c r="I31" s="10"/>
      <c r="J31" s="5" t="s">
        <v>374</v>
      </c>
    </row>
    <row r="32" customFormat="false" ht="15" hidden="false" customHeight="true" outlineLevel="0" collapsed="false">
      <c r="A32" s="13" t="s">
        <v>375</v>
      </c>
      <c r="B32" s="5" t="s">
        <v>376</v>
      </c>
      <c r="C32" s="12" t="s">
        <v>286</v>
      </c>
      <c r="D32" s="10"/>
      <c r="E32" s="10" t="s">
        <v>275</v>
      </c>
      <c r="F32" s="10"/>
      <c r="G32" s="10"/>
      <c r="H32" s="10"/>
      <c r="I32" s="10" t="s">
        <v>275</v>
      </c>
      <c r="J32" s="5" t="s">
        <v>377</v>
      </c>
    </row>
    <row r="33" customFormat="false" ht="15" hidden="false" customHeight="true" outlineLevel="0" collapsed="false">
      <c r="A33" s="13" t="s">
        <v>378</v>
      </c>
      <c r="B33" s="5" t="s">
        <v>379</v>
      </c>
      <c r="C33" s="12" t="s">
        <v>118</v>
      </c>
      <c r="D33" s="10"/>
      <c r="E33" s="10"/>
      <c r="F33" s="10"/>
      <c r="G33" s="10" t="s">
        <v>275</v>
      </c>
      <c r="H33" s="10"/>
      <c r="I33" s="10"/>
      <c r="J33" s="5" t="s">
        <v>380</v>
      </c>
    </row>
    <row r="35" customFormat="false" ht="15" hidden="false" customHeight="true" outlineLevel="0" collapsed="false">
      <c r="B35" s="4" t="s">
        <v>381</v>
      </c>
      <c r="D35" s="14" t="n">
        <f aca="false">COUNTIF(D5:D33,"X")</f>
        <v>6</v>
      </c>
      <c r="E35" s="14" t="n">
        <f aca="false">COUNTIF(E5:E33,"X")</f>
        <v>9</v>
      </c>
      <c r="F35" s="14" t="n">
        <f aca="false">COUNTIF(F5:F33,"X")</f>
        <v>2</v>
      </c>
      <c r="G35" s="14" t="n">
        <f aca="false">COUNTIF(G5:G33,"X")</f>
        <v>11</v>
      </c>
      <c r="H35" s="14" t="n">
        <f aca="false">COUNTIF(H5:H33,"X")</f>
        <v>4</v>
      </c>
      <c r="I35" s="14" t="n">
        <f aca="false">COUNTIF(I5:I33,"X")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6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6" min="5" style="1" width="14"/>
    <col collapsed="false" customWidth="true" hidden="false" outlineLevel="0" max="7" min="7" style="1" width="15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70"/>
  </cols>
  <sheetData>
    <row r="1" customFormat="false" ht="17.25" hidden="false" customHeight="true" outlineLevel="0" collapsed="false">
      <c r="A1" s="2" t="s">
        <v>382</v>
      </c>
    </row>
    <row r="2" customFormat="false" ht="15" hidden="false" customHeight="true" outlineLevel="0" collapsed="false">
      <c r="A2" s="3" t="s">
        <v>383</v>
      </c>
    </row>
    <row r="4" customFormat="false" ht="31.5" hidden="false" customHeight="true" outlineLevel="0" collapsed="false">
      <c r="A4" s="9" t="s">
        <v>88</v>
      </c>
      <c r="B4" s="9" t="s">
        <v>263</v>
      </c>
      <c r="C4" s="9" t="s">
        <v>70</v>
      </c>
      <c r="D4" s="9" t="s">
        <v>72</v>
      </c>
      <c r="E4" s="9" t="s">
        <v>74</v>
      </c>
      <c r="F4" s="9" t="s">
        <v>76</v>
      </c>
      <c r="G4" s="9" t="s">
        <v>78</v>
      </c>
      <c r="H4" s="9" t="s">
        <v>384</v>
      </c>
      <c r="I4" s="9" t="s">
        <v>385</v>
      </c>
      <c r="J4" s="9" t="s">
        <v>386</v>
      </c>
    </row>
    <row r="5" customFormat="false" ht="23.25" hidden="false" customHeight="true" outlineLevel="0" collapsed="false">
      <c r="A5" s="13" t="str">
        <f aca="false">STRIDE!A5</f>
        <v>T-01</v>
      </c>
      <c r="B5" s="5" t="str">
        <f aca="false">STRIDE!B5</f>
        <v>Adivinación o robo de contraseñas (fuerza bruta y credential stuffing)</v>
      </c>
      <c r="C5" s="10" t="n">
        <v>7</v>
      </c>
      <c r="D5" s="10" t="n">
        <v>9</v>
      </c>
      <c r="E5" s="10" t="n">
        <v>7</v>
      </c>
      <c r="F5" s="10" t="n">
        <v>6</v>
      </c>
      <c r="G5" s="10" t="n">
        <v>8</v>
      </c>
      <c r="H5" s="15" t="n">
        <f aca="false">AVERAGE(C5:G5)</f>
        <v>7.4</v>
      </c>
      <c r="I5" s="12" t="str">
        <f aca="false">IF(H5&gt;=Escalas!$B$11,"Alto",IF(H5&gt;=Escalas!$B$12,"Medio","Bajo"))</f>
        <v>Alto</v>
      </c>
      <c r="J5" s="5" t="s">
        <v>387</v>
      </c>
    </row>
    <row r="6" customFormat="false" ht="15" hidden="false" customHeight="true" outlineLevel="0" collapsed="false">
      <c r="A6" s="13" t="str">
        <f aca="false">STRIDE!A6</f>
        <v>T-02</v>
      </c>
      <c r="B6" s="5" t="str">
        <f aca="false">STRIDE!B6</f>
        <v>Fuerza bruta del segundo factor (código TOTP de 6 dígitos)</v>
      </c>
      <c r="C6" s="10" t="n">
        <v>8</v>
      </c>
      <c r="D6" s="10" t="n">
        <v>5</v>
      </c>
      <c r="E6" s="10" t="n">
        <v>5</v>
      </c>
      <c r="F6" s="10" t="n">
        <v>3</v>
      </c>
      <c r="G6" s="10" t="n">
        <v>6</v>
      </c>
      <c r="H6" s="15" t="n">
        <f aca="false">AVERAGE(C6:G6)</f>
        <v>5.4</v>
      </c>
      <c r="I6" s="12" t="str">
        <f aca="false">IF(H6&gt;=Escalas!$B$11,"Alto",IF(H6&gt;=Escalas!$B$12,"Medio","Bajo"))</f>
        <v>Medio</v>
      </c>
      <c r="J6" s="5" t="s">
        <v>388</v>
      </c>
    </row>
    <row r="7" customFormat="false" ht="15" hidden="false" customHeight="true" outlineLevel="0" collapsed="false">
      <c r="A7" s="13" t="str">
        <f aca="false">STRIDE!A7</f>
        <v>T-03</v>
      </c>
      <c r="B7" s="5" t="str">
        <f aca="false">STRIDE!B7</f>
        <v>Reutilización (replay) de un código TOTP interceptado</v>
      </c>
      <c r="C7" s="10" t="n">
        <v>8</v>
      </c>
      <c r="D7" s="10" t="n">
        <v>4</v>
      </c>
      <c r="E7" s="10" t="n">
        <v>4</v>
      </c>
      <c r="F7" s="10" t="n">
        <v>2</v>
      </c>
      <c r="G7" s="10" t="n">
        <v>4</v>
      </c>
      <c r="H7" s="15" t="n">
        <f aca="false">AVERAGE(C7:G7)</f>
        <v>4.4</v>
      </c>
      <c r="I7" s="12" t="str">
        <f aca="false">IF(H7&gt;=Escalas!$B$11,"Alto",IF(H7&gt;=Escalas!$B$12,"Medio","Bajo"))</f>
        <v>Medio</v>
      </c>
      <c r="J7" s="5" t="s">
        <v>389</v>
      </c>
    </row>
    <row r="8" customFormat="false" ht="15" hidden="false" customHeight="true" outlineLevel="0" collapsed="false">
      <c r="A8" s="13" t="str">
        <f aca="false">STRIDE!A8</f>
        <v>T-04</v>
      </c>
      <c r="B8" s="5" t="str">
        <f aca="false">STRIDE!B8</f>
        <v>Robo de sesión por XSS (cookie accesible por JavaScript)</v>
      </c>
      <c r="C8" s="10" t="n">
        <v>9</v>
      </c>
      <c r="D8" s="10" t="n">
        <v>7</v>
      </c>
      <c r="E8" s="10" t="n">
        <v>6</v>
      </c>
      <c r="F8" s="10" t="n">
        <v>8</v>
      </c>
      <c r="G8" s="10" t="n">
        <v>7</v>
      </c>
      <c r="H8" s="15" t="n">
        <f aca="false">AVERAGE(C8:G8)</f>
        <v>7.4</v>
      </c>
      <c r="I8" s="12" t="str">
        <f aca="false">IF(H8&gt;=Escalas!$B$11,"Alto",IF(H8&gt;=Escalas!$B$12,"Medio","Bajo"))</f>
        <v>Alto</v>
      </c>
      <c r="J8" s="5" t="s">
        <v>390</v>
      </c>
    </row>
    <row r="9" customFormat="false" ht="15" hidden="false" customHeight="true" outlineLevel="0" collapsed="false">
      <c r="A9" s="13" t="str">
        <f aca="false">STRIDE!A9</f>
        <v>T-05</v>
      </c>
      <c r="B9" s="5" t="str">
        <f aca="false">STRIDE!B9</f>
        <v>XSS almacenado en el contenido Markdown</v>
      </c>
      <c r="C9" s="10" t="n">
        <v>8</v>
      </c>
      <c r="D9" s="10" t="n">
        <v>9</v>
      </c>
      <c r="E9" s="10" t="n">
        <v>8</v>
      </c>
      <c r="F9" s="10" t="n">
        <v>9</v>
      </c>
      <c r="G9" s="10" t="n">
        <v>8</v>
      </c>
      <c r="H9" s="15" t="n">
        <f aca="false">AVERAGE(C9:G9)</f>
        <v>8.4</v>
      </c>
      <c r="I9" s="12" t="str">
        <f aca="false">IF(H9&gt;=Escalas!$B$11,"Alto",IF(H9&gt;=Escalas!$B$12,"Medio","Bajo"))</f>
        <v>Alto</v>
      </c>
      <c r="J9" s="5" t="s">
        <v>391</v>
      </c>
    </row>
    <row r="10" customFormat="false" ht="15" hidden="false" customHeight="true" outlineLevel="0" collapsed="false">
      <c r="A10" s="13" t="str">
        <f aca="false">STRIDE!A10</f>
        <v>T-06</v>
      </c>
      <c r="B10" s="5" t="str">
        <f aca="false">STRIDE!B10</f>
        <v>Inyección NoSQL en inicio de sesión y consultas</v>
      </c>
      <c r="C10" s="10" t="n">
        <v>9</v>
      </c>
      <c r="D10" s="10" t="n">
        <v>8</v>
      </c>
      <c r="E10" s="10" t="n">
        <v>7</v>
      </c>
      <c r="F10" s="10" t="n">
        <v>9</v>
      </c>
      <c r="G10" s="10" t="n">
        <v>7</v>
      </c>
      <c r="H10" s="15" t="n">
        <f aca="false">AVERAGE(C10:G10)</f>
        <v>8</v>
      </c>
      <c r="I10" s="12" t="str">
        <f aca="false">IF(H10&gt;=Escalas!$B$11,"Alto",IF(H10&gt;=Escalas!$B$12,"Medio","Bajo"))</f>
        <v>Alto</v>
      </c>
      <c r="J10" s="5" t="s">
        <v>392</v>
      </c>
    </row>
    <row r="11" customFormat="false" ht="15" hidden="false" customHeight="true" outlineLevel="0" collapsed="false">
      <c r="A11" s="13" t="str">
        <f aca="false">STRIDE!A11</f>
        <v>T-07</v>
      </c>
      <c r="B11" s="5" t="str">
        <f aca="false">STRIDE!B11</f>
        <v>Acceso a recursos ajenos (IDOR o BOLA en posts e imágenes)</v>
      </c>
      <c r="C11" s="10" t="n">
        <v>6</v>
      </c>
      <c r="D11" s="10" t="n">
        <v>9</v>
      </c>
      <c r="E11" s="10" t="n">
        <v>8</v>
      </c>
      <c r="F11" s="10" t="n">
        <v>6</v>
      </c>
      <c r="G11" s="10" t="n">
        <v>7</v>
      </c>
      <c r="H11" s="15" t="n">
        <f aca="false">AVERAGE(C11:G11)</f>
        <v>7.2</v>
      </c>
      <c r="I11" s="12" t="str">
        <f aca="false">IF(H11&gt;=Escalas!$B$11,"Alto",IF(H11&gt;=Escalas!$B$12,"Medio","Bajo"))</f>
        <v>Alto</v>
      </c>
      <c r="J11" s="5" t="s">
        <v>393</v>
      </c>
    </row>
    <row r="12" customFormat="false" ht="23.25" hidden="false" customHeight="true" outlineLevel="0" collapsed="false">
      <c r="A12" s="13" t="str">
        <f aca="false">STRIDE!A12</f>
        <v>T-08</v>
      </c>
      <c r="B12" s="5" t="str">
        <f aca="false">STRIDE!B12</f>
        <v>Escalada de privilegios a administrador (asignación masiva o rol manipulado)</v>
      </c>
      <c r="C12" s="10" t="n">
        <v>10</v>
      </c>
      <c r="D12" s="10" t="n">
        <v>6</v>
      </c>
      <c r="E12" s="10" t="n">
        <v>5</v>
      </c>
      <c r="F12" s="10" t="n">
        <v>10</v>
      </c>
      <c r="G12" s="10" t="n">
        <v>6</v>
      </c>
      <c r="H12" s="15" t="n">
        <f aca="false">AVERAGE(C12:G12)</f>
        <v>7.4</v>
      </c>
      <c r="I12" s="12" t="str">
        <f aca="false">IF(H12&gt;=Escalas!$B$11,"Alto",IF(H12&gt;=Escalas!$B$12,"Medio","Bajo"))</f>
        <v>Alto</v>
      </c>
      <c r="J12" s="5" t="s">
        <v>394</v>
      </c>
    </row>
    <row r="13" customFormat="false" ht="15" hidden="false" customHeight="true" outlineLevel="0" collapsed="false">
      <c r="A13" s="13" t="str">
        <f aca="false">STRIDE!A13</f>
        <v>T-09</v>
      </c>
      <c r="B13" s="5" t="str">
        <f aca="false">STRIDE!B13</f>
        <v>Subida de archivos maliciosos (SVG con script, políglotas)</v>
      </c>
      <c r="C13" s="10" t="n">
        <v>8</v>
      </c>
      <c r="D13" s="10" t="n">
        <v>8</v>
      </c>
      <c r="E13" s="10" t="n">
        <v>6</v>
      </c>
      <c r="F13" s="10" t="n">
        <v>7</v>
      </c>
      <c r="G13" s="10" t="n">
        <v>6</v>
      </c>
      <c r="H13" s="15" t="n">
        <f aca="false">AVERAGE(C13:G13)</f>
        <v>7</v>
      </c>
      <c r="I13" s="12" t="str">
        <f aca="false">IF(H13&gt;=Escalas!$B$11,"Alto",IF(H13&gt;=Escalas!$B$12,"Medio","Bajo"))</f>
        <v>Alto</v>
      </c>
      <c r="J13" s="5" t="s">
        <v>395</v>
      </c>
    </row>
    <row r="14" customFormat="false" ht="15" hidden="false" customHeight="true" outlineLevel="0" collapsed="false">
      <c r="A14" s="13" t="str">
        <f aca="false">STRIDE!A14</f>
        <v>T-10</v>
      </c>
      <c r="B14" s="5" t="str">
        <f aca="false">STRIDE!B14</f>
        <v>Path traversal al descargar imágenes</v>
      </c>
      <c r="C14" s="10" t="n">
        <v>7</v>
      </c>
      <c r="D14" s="10" t="n">
        <v>7</v>
      </c>
      <c r="E14" s="10" t="n">
        <v>5</v>
      </c>
      <c r="F14" s="10" t="n">
        <v>7</v>
      </c>
      <c r="G14" s="10" t="n">
        <v>6</v>
      </c>
      <c r="H14" s="15" t="n">
        <f aca="false">AVERAGE(C14:G14)</f>
        <v>6.4</v>
      </c>
      <c r="I14" s="12" t="str">
        <f aca="false">IF(H14&gt;=Escalas!$B$11,"Alto",IF(H14&gt;=Escalas!$B$12,"Medio","Bajo"))</f>
        <v>Medio</v>
      </c>
      <c r="J14" s="5" t="s">
        <v>396</v>
      </c>
    </row>
    <row r="15" customFormat="false" ht="15" hidden="false" customHeight="true" outlineLevel="0" collapsed="false">
      <c r="A15" s="13" t="str">
        <f aca="false">STRIDE!A15</f>
        <v>T-11</v>
      </c>
      <c r="B15" s="5" t="str">
        <f aca="false">STRIDE!B15</f>
        <v>Enumeración de usuarios por el mensaje de correo ya registrado</v>
      </c>
      <c r="C15" s="10" t="n">
        <v>3</v>
      </c>
      <c r="D15" s="10" t="n">
        <v>10</v>
      </c>
      <c r="E15" s="10" t="n">
        <v>8</v>
      </c>
      <c r="F15" s="10" t="n">
        <v>5</v>
      </c>
      <c r="G15" s="10" t="n">
        <v>8</v>
      </c>
      <c r="H15" s="15" t="n">
        <f aca="false">AVERAGE(C15:G15)</f>
        <v>6.8</v>
      </c>
      <c r="I15" s="12" t="str">
        <f aca="false">IF(H15&gt;=Escalas!$B$11,"Alto",IF(H15&gt;=Escalas!$B$12,"Medio","Bajo"))</f>
        <v>Medio</v>
      </c>
      <c r="J15" s="5" t="s">
        <v>397</v>
      </c>
    </row>
    <row r="16" customFormat="false" ht="15" hidden="false" customHeight="true" outlineLevel="0" collapsed="false">
      <c r="A16" s="13" t="str">
        <f aca="false">STRIDE!A16</f>
        <v>T-12</v>
      </c>
      <c r="B16" s="5" t="str">
        <f aca="false">STRIDE!B16</f>
        <v>Fuga de secretos en el repositorio o su historial</v>
      </c>
      <c r="C16" s="10" t="n">
        <v>9</v>
      </c>
      <c r="D16" s="10" t="n">
        <v>6</v>
      </c>
      <c r="E16" s="10" t="n">
        <v>6</v>
      </c>
      <c r="F16" s="10" t="n">
        <v>10</v>
      </c>
      <c r="G16" s="10" t="n">
        <v>5</v>
      </c>
      <c r="H16" s="15" t="n">
        <f aca="false">AVERAGE(C16:G16)</f>
        <v>7.2</v>
      </c>
      <c r="I16" s="12" t="str">
        <f aca="false">IF(H16&gt;=Escalas!$B$11,"Alto",IF(H16&gt;=Escalas!$B$12,"Medio","Bajo"))</f>
        <v>Alto</v>
      </c>
      <c r="J16" s="5" t="s">
        <v>398</v>
      </c>
    </row>
    <row r="17" customFormat="false" ht="15" hidden="false" customHeight="true" outlineLevel="0" collapsed="false">
      <c r="A17" s="13" t="str">
        <f aca="false">STRIDE!A17</f>
        <v>T-13</v>
      </c>
      <c r="B17" s="5" t="str">
        <f aca="false">STRIDE!B17</f>
        <v>Fuga de la base de datos con hashes y semillas MFA</v>
      </c>
      <c r="C17" s="10" t="n">
        <v>9</v>
      </c>
      <c r="D17" s="10" t="n">
        <v>4</v>
      </c>
      <c r="E17" s="10" t="n">
        <v>4</v>
      </c>
      <c r="F17" s="10" t="n">
        <v>10</v>
      </c>
      <c r="G17" s="10" t="n">
        <v>5</v>
      </c>
      <c r="H17" s="15" t="n">
        <f aca="false">AVERAGE(C17:G17)</f>
        <v>6.4</v>
      </c>
      <c r="I17" s="12" t="str">
        <f aca="false">IF(H17&gt;=Escalas!$B$11,"Alto",IF(H17&gt;=Escalas!$B$12,"Medio","Bajo"))</f>
        <v>Medio</v>
      </c>
      <c r="J17" s="5" t="s">
        <v>399</v>
      </c>
    </row>
    <row r="18" customFormat="false" ht="15" hidden="false" customHeight="true" outlineLevel="0" collapsed="false">
      <c r="A18" s="13" t="str">
        <f aca="false">STRIDE!A18</f>
        <v>T-14</v>
      </c>
      <c r="B18" s="5" t="str">
        <f aca="false">STRIDE!B18</f>
        <v>Acciones sin trazabilidad (repudio)</v>
      </c>
      <c r="C18" s="10" t="n">
        <v>5</v>
      </c>
      <c r="D18" s="10" t="n">
        <v>8</v>
      </c>
      <c r="E18" s="10" t="n">
        <v>6</v>
      </c>
      <c r="F18" s="10" t="n">
        <v>6</v>
      </c>
      <c r="G18" s="10" t="n">
        <v>5</v>
      </c>
      <c r="H18" s="15" t="n">
        <f aca="false">AVERAGE(C18:G18)</f>
        <v>6</v>
      </c>
      <c r="I18" s="12" t="str">
        <f aca="false">IF(H18&gt;=Escalas!$B$11,"Alto",IF(H18&gt;=Escalas!$B$12,"Medio","Bajo"))</f>
        <v>Medio</v>
      </c>
      <c r="J18" s="5" t="s">
        <v>400</v>
      </c>
    </row>
    <row r="19" customFormat="false" ht="15" hidden="false" customHeight="true" outlineLevel="0" collapsed="false">
      <c r="A19" s="13" t="str">
        <f aca="false">STRIDE!A19</f>
        <v>T-15</v>
      </c>
      <c r="B19" s="5" t="str">
        <f aca="false">STRIDE!B19</f>
        <v>Alteración o borrado de los registros de auditoría</v>
      </c>
      <c r="C19" s="10" t="n">
        <v>7</v>
      </c>
      <c r="D19" s="10" t="n">
        <v>4</v>
      </c>
      <c r="E19" s="10" t="n">
        <v>4</v>
      </c>
      <c r="F19" s="10" t="n">
        <v>8</v>
      </c>
      <c r="G19" s="10" t="n">
        <v>4</v>
      </c>
      <c r="H19" s="15" t="n">
        <f aca="false">AVERAGE(C19:G19)</f>
        <v>5.4</v>
      </c>
      <c r="I19" s="12" t="str">
        <f aca="false">IF(H19&gt;=Escalas!$B$11,"Alto",IF(H19&gt;=Escalas!$B$12,"Medio","Bajo"))</f>
        <v>Medio</v>
      </c>
      <c r="J19" s="5" t="s">
        <v>401</v>
      </c>
    </row>
    <row r="20" customFormat="false" ht="15" hidden="false" customHeight="true" outlineLevel="0" collapsed="false">
      <c r="A20" s="13" t="str">
        <f aca="false">STRIDE!A20</f>
        <v>T-16</v>
      </c>
      <c r="B20" s="5" t="str">
        <f aca="false">STRIDE!B20</f>
        <v>Denegación de servicio por volumen de peticiones</v>
      </c>
      <c r="C20" s="10" t="n">
        <v>7</v>
      </c>
      <c r="D20" s="10" t="n">
        <v>8</v>
      </c>
      <c r="E20" s="10" t="n">
        <v>7</v>
      </c>
      <c r="F20" s="10" t="n">
        <v>10</v>
      </c>
      <c r="G20" s="10" t="n">
        <v>8</v>
      </c>
      <c r="H20" s="15" t="n">
        <f aca="false">AVERAGE(C20:G20)</f>
        <v>8</v>
      </c>
      <c r="I20" s="12" t="str">
        <f aca="false">IF(H20&gt;=Escalas!$B$11,"Alto",IF(H20&gt;=Escalas!$B$12,"Medio","Bajo"))</f>
        <v>Alto</v>
      </c>
      <c r="J20" s="5" t="s">
        <v>402</v>
      </c>
    </row>
    <row r="21" customFormat="false" ht="23.25" hidden="false" customHeight="true" outlineLevel="0" collapsed="false">
      <c r="A21" s="13" t="str">
        <f aca="false">STRIDE!A21</f>
        <v>T-17</v>
      </c>
      <c r="B21" s="5" t="str">
        <f aca="false">STRIDE!B21</f>
        <v>Bloqueo intencional de una cuenta ajena (abuso del bloqueo de MFA)</v>
      </c>
      <c r="C21" s="10" t="n">
        <v>4</v>
      </c>
      <c r="D21" s="10" t="n">
        <v>8</v>
      </c>
      <c r="E21" s="10" t="n">
        <v>7</v>
      </c>
      <c r="F21" s="10" t="n">
        <v>1</v>
      </c>
      <c r="G21" s="10" t="n">
        <v>5</v>
      </c>
      <c r="H21" s="15" t="n">
        <f aca="false">AVERAGE(C21:G21)</f>
        <v>5</v>
      </c>
      <c r="I21" s="12" t="str">
        <f aca="false">IF(H21&gt;=Escalas!$B$11,"Alto",IF(H21&gt;=Escalas!$B$12,"Medio","Bajo"))</f>
        <v>Medio</v>
      </c>
      <c r="J21" s="5" t="s">
        <v>403</v>
      </c>
    </row>
    <row r="22" customFormat="false" ht="15" hidden="false" customHeight="true" outlineLevel="0" collapsed="false">
      <c r="A22" s="13" t="str">
        <f aca="false">STRIDE!A22</f>
        <v>T-18</v>
      </c>
      <c r="B22" s="5" t="str">
        <f aca="false">STRIDE!B22</f>
        <v>Dependencias de terceros vulnerables o comprometidas</v>
      </c>
      <c r="C22" s="10" t="n">
        <v>9</v>
      </c>
      <c r="D22" s="10" t="n">
        <v>5</v>
      </c>
      <c r="E22" s="10" t="n">
        <v>5</v>
      </c>
      <c r="F22" s="10" t="n">
        <v>10</v>
      </c>
      <c r="G22" s="10" t="n">
        <v>6</v>
      </c>
      <c r="H22" s="15" t="n">
        <f aca="false">AVERAGE(C22:G22)</f>
        <v>7</v>
      </c>
      <c r="I22" s="12" t="str">
        <f aca="false">IF(H22&gt;=Escalas!$B$11,"Alto",IF(H22&gt;=Escalas!$B$12,"Medio","Bajo"))</f>
        <v>Alto</v>
      </c>
      <c r="J22" s="5" t="s">
        <v>404</v>
      </c>
    </row>
    <row r="23" customFormat="false" ht="15" hidden="false" customHeight="true" outlineLevel="0" collapsed="false">
      <c r="A23" s="13" t="str">
        <f aca="false">STRIDE!A23</f>
        <v>T-19</v>
      </c>
      <c r="B23" s="5" t="str">
        <f aca="false">STRIDE!B23</f>
        <v>Imágenes de contenedor con vulnerabilidades conocidas</v>
      </c>
      <c r="C23" s="10" t="n">
        <v>8</v>
      </c>
      <c r="D23" s="10" t="n">
        <v>6</v>
      </c>
      <c r="E23" s="10" t="n">
        <v>5</v>
      </c>
      <c r="F23" s="10" t="n">
        <v>8</v>
      </c>
      <c r="G23" s="10" t="n">
        <v>7</v>
      </c>
      <c r="H23" s="15" t="n">
        <f aca="false">AVERAGE(C23:G23)</f>
        <v>6.8</v>
      </c>
      <c r="I23" s="12" t="str">
        <f aca="false">IF(H23&gt;=Escalas!$B$11,"Alto",IF(H23&gt;=Escalas!$B$12,"Medio","Bajo"))</f>
        <v>Medio</v>
      </c>
      <c r="J23" s="5" t="s">
        <v>405</v>
      </c>
    </row>
    <row r="24" customFormat="false" ht="15" hidden="false" customHeight="true" outlineLevel="0" collapsed="false">
      <c r="A24" s="13" t="str">
        <f aca="false">STRIDE!A24</f>
        <v>T-20</v>
      </c>
      <c r="B24" s="5" t="str">
        <f aca="false">STRIDE!B24</f>
        <v>Compromiso del pipeline CI/CD o de acciones de terceros</v>
      </c>
      <c r="C24" s="10" t="n">
        <v>9</v>
      </c>
      <c r="D24" s="10" t="n">
        <v>3</v>
      </c>
      <c r="E24" s="10" t="n">
        <v>4</v>
      </c>
      <c r="F24" s="10" t="n">
        <v>10</v>
      </c>
      <c r="G24" s="10" t="n">
        <v>4</v>
      </c>
      <c r="H24" s="15" t="n">
        <f aca="false">AVERAGE(C24:G24)</f>
        <v>6</v>
      </c>
      <c r="I24" s="12" t="str">
        <f aca="false">IF(H24&gt;=Escalas!$B$11,"Alto",IF(H24&gt;=Escalas!$B$12,"Medio","Bajo"))</f>
        <v>Medio</v>
      </c>
      <c r="J24" s="5" t="s">
        <v>406</v>
      </c>
    </row>
    <row r="25" customFormat="false" ht="15" hidden="false" customHeight="true" outlineLevel="0" collapsed="false">
      <c r="A25" s="13" t="str">
        <f aca="false">STRIDE!A25</f>
        <v>T-21</v>
      </c>
      <c r="B25" s="5" t="str">
        <f aca="false">STRIDE!B25</f>
        <v>Exposición directa de la base de datos o de la API a la red</v>
      </c>
      <c r="C25" s="10" t="n">
        <v>10</v>
      </c>
      <c r="D25" s="10" t="n">
        <v>8</v>
      </c>
      <c r="E25" s="10" t="n">
        <v>8</v>
      </c>
      <c r="F25" s="10" t="n">
        <v>10</v>
      </c>
      <c r="G25" s="10" t="n">
        <v>7</v>
      </c>
      <c r="H25" s="15" t="n">
        <f aca="false">AVERAGE(C25:G25)</f>
        <v>8.6</v>
      </c>
      <c r="I25" s="12" t="str">
        <f aca="false">IF(H25&gt;=Escalas!$B$11,"Alto",IF(H25&gt;=Escalas!$B$12,"Medio","Bajo"))</f>
        <v>Alto</v>
      </c>
      <c r="J25" s="5" t="s">
        <v>407</v>
      </c>
    </row>
    <row r="26" customFormat="false" ht="15" hidden="false" customHeight="true" outlineLevel="0" collapsed="false">
      <c r="A26" s="13" t="str">
        <f aca="false">STRIDE!A26</f>
        <v>T-22</v>
      </c>
      <c r="B26" s="5" t="str">
        <f aca="false">STRIDE!B26</f>
        <v>Escape de contenedor o ejecución como root</v>
      </c>
      <c r="C26" s="10" t="n">
        <v>9</v>
      </c>
      <c r="D26" s="10" t="n">
        <v>3</v>
      </c>
      <c r="E26" s="10" t="n">
        <v>3</v>
      </c>
      <c r="F26" s="10" t="n">
        <v>10</v>
      </c>
      <c r="G26" s="10" t="n">
        <v>4</v>
      </c>
      <c r="H26" s="15" t="n">
        <f aca="false">AVERAGE(C26:G26)</f>
        <v>5.8</v>
      </c>
      <c r="I26" s="12" t="str">
        <f aca="false">IF(H26&gt;=Escalas!$B$11,"Alto",IF(H26&gt;=Escalas!$B$12,"Medio","Bajo"))</f>
        <v>Medio</v>
      </c>
      <c r="J26" s="5" t="s">
        <v>408</v>
      </c>
    </row>
    <row r="27" customFormat="false" ht="15" hidden="false" customHeight="true" outlineLevel="0" collapsed="false">
      <c r="A27" s="13" t="str">
        <f aca="false">STRIDE!A27</f>
        <v>T-23</v>
      </c>
      <c r="B27" s="5" t="str">
        <f aca="false">STRIDE!B27</f>
        <v>Interceptación del tráfico (hombre en el medio)</v>
      </c>
      <c r="C27" s="10" t="n">
        <v>8</v>
      </c>
      <c r="D27" s="10" t="n">
        <v>5</v>
      </c>
      <c r="E27" s="10" t="n">
        <v>5</v>
      </c>
      <c r="F27" s="10" t="n">
        <v>7</v>
      </c>
      <c r="G27" s="10" t="n">
        <v>6</v>
      </c>
      <c r="H27" s="15" t="n">
        <f aca="false">AVERAGE(C27:G27)</f>
        <v>6.2</v>
      </c>
      <c r="I27" s="12" t="str">
        <f aca="false">IF(H27&gt;=Escalas!$B$11,"Alto",IF(H27&gt;=Escalas!$B$12,"Medio","Bajo"))</f>
        <v>Medio</v>
      </c>
      <c r="J27" s="5" t="s">
        <v>409</v>
      </c>
    </row>
    <row r="28" customFormat="false" ht="23.25" hidden="false" customHeight="true" outlineLevel="0" collapsed="false">
      <c r="A28" s="13" t="str">
        <f aca="false">STRIDE!A28</f>
        <v>T-24</v>
      </c>
      <c r="B28" s="5" t="str">
        <f aca="false">STRIDE!B28</f>
        <v>Configuración insegura de la nube (recursos públicos, permisos amplios)</v>
      </c>
      <c r="C28" s="10" t="n">
        <v>9</v>
      </c>
      <c r="D28" s="10" t="n">
        <v>6</v>
      </c>
      <c r="E28" s="10" t="n">
        <v>5</v>
      </c>
      <c r="F28" s="10" t="n">
        <v>8</v>
      </c>
      <c r="G28" s="10" t="n">
        <v>6</v>
      </c>
      <c r="H28" s="15" t="n">
        <f aca="false">AVERAGE(C28:G28)</f>
        <v>6.8</v>
      </c>
      <c r="I28" s="12" t="str">
        <f aca="false">IF(H28&gt;=Escalas!$B$11,"Alto",IF(H28&gt;=Escalas!$B$12,"Medio","Bajo"))</f>
        <v>Medio</v>
      </c>
      <c r="J28" s="5" t="s">
        <v>410</v>
      </c>
    </row>
    <row r="29" customFormat="false" ht="23.25" hidden="false" customHeight="true" outlineLevel="0" collapsed="false">
      <c r="A29" s="13" t="str">
        <f aca="false">STRIDE!A29</f>
        <v>T-25</v>
      </c>
      <c r="B29" s="5" t="str">
        <f aca="false">STRIDE!B29</f>
        <v>Pérdida de datos por falla o corrupción de la base (sin respaldo automático)</v>
      </c>
      <c r="C29" s="10" t="n">
        <v>9</v>
      </c>
      <c r="D29" s="10" t="n">
        <v>4</v>
      </c>
      <c r="E29" s="10" t="n">
        <v>3</v>
      </c>
      <c r="F29" s="10" t="n">
        <v>10</v>
      </c>
      <c r="G29" s="10" t="n">
        <v>3</v>
      </c>
      <c r="H29" s="15" t="n">
        <f aca="false">AVERAGE(C29:G29)</f>
        <v>5.8</v>
      </c>
      <c r="I29" s="12" t="str">
        <f aca="false">IF(H29&gt;=Escalas!$B$11,"Alto",IF(H29&gt;=Escalas!$B$12,"Medio","Bajo"))</f>
        <v>Medio</v>
      </c>
      <c r="J29" s="5" t="s">
        <v>411</v>
      </c>
    </row>
    <row r="30" customFormat="false" ht="23.25" hidden="false" customHeight="true" outlineLevel="0" collapsed="false">
      <c r="A30" s="13" t="str">
        <f aca="false">STRIDE!A30</f>
        <v>T-26</v>
      </c>
      <c r="B30" s="5" t="str">
        <f aca="false">STRIDE!B30</f>
        <v>Pérdida o robo del dispositivo con el segundo factor del administrador</v>
      </c>
      <c r="C30" s="10" t="n">
        <v>7</v>
      </c>
      <c r="D30" s="10" t="n">
        <v>3</v>
      </c>
      <c r="E30" s="10" t="n">
        <v>4</v>
      </c>
      <c r="F30" s="10" t="n">
        <v>2</v>
      </c>
      <c r="G30" s="10" t="n">
        <v>3</v>
      </c>
      <c r="H30" s="15" t="n">
        <f aca="false">AVERAGE(C30:G30)</f>
        <v>3.8</v>
      </c>
      <c r="I30" s="12" t="str">
        <f aca="false">IF(H30&gt;=Escalas!$B$11,"Alto",IF(H30&gt;=Escalas!$B$12,"Medio","Bajo"))</f>
        <v>Bajo</v>
      </c>
      <c r="J30" s="5" t="s">
        <v>412</v>
      </c>
    </row>
    <row r="31" customFormat="false" ht="15" hidden="false" customHeight="true" outlineLevel="0" collapsed="false">
      <c r="A31" s="13" t="str">
        <f aca="false">STRIDE!A31</f>
        <v>T-27</v>
      </c>
      <c r="B31" s="5" t="str">
        <f aca="false">STRIDE!B31</f>
        <v>Phishing con proxy en tiempo real que captura el código TOTP</v>
      </c>
      <c r="C31" s="10" t="n">
        <v>8</v>
      </c>
      <c r="D31" s="10" t="n">
        <v>5</v>
      </c>
      <c r="E31" s="10" t="n">
        <v>5</v>
      </c>
      <c r="F31" s="10" t="n">
        <v>3</v>
      </c>
      <c r="G31" s="10" t="n">
        <v>6</v>
      </c>
      <c r="H31" s="15" t="n">
        <f aca="false">AVERAGE(C31:G31)</f>
        <v>5.4</v>
      </c>
      <c r="I31" s="12" t="str">
        <f aca="false">IF(H31&gt;=Escalas!$B$11,"Alto",IF(H31&gt;=Escalas!$B$12,"Medio","Bajo"))</f>
        <v>Medio</v>
      </c>
      <c r="J31" s="5" t="s">
        <v>413</v>
      </c>
    </row>
    <row r="32" customFormat="false" ht="15" hidden="false" customHeight="true" outlineLevel="0" collapsed="false">
      <c r="A32" s="13" t="str">
        <f aca="false">STRIDE!A32</f>
        <v>T-28</v>
      </c>
      <c r="B32" s="5" t="str">
        <f aca="false">STRIDE!B32</f>
        <v>Ataques desde el navegador: CSRF y clickjacking</v>
      </c>
      <c r="C32" s="10" t="n">
        <v>6</v>
      </c>
      <c r="D32" s="10" t="n">
        <v>6</v>
      </c>
      <c r="E32" s="10" t="n">
        <v>5</v>
      </c>
      <c r="F32" s="10" t="n">
        <v>6</v>
      </c>
      <c r="G32" s="10" t="n">
        <v>6</v>
      </c>
      <c r="H32" s="15" t="n">
        <f aca="false">AVERAGE(C32:G32)</f>
        <v>5.8</v>
      </c>
      <c r="I32" s="12" t="str">
        <f aca="false">IF(H32&gt;=Escalas!$B$11,"Alto",IF(H32&gt;=Escalas!$B$12,"Medio","Bajo"))</f>
        <v>Medio</v>
      </c>
      <c r="J32" s="5" t="s">
        <v>414</v>
      </c>
    </row>
    <row r="33" customFormat="false" ht="15" hidden="false" customHeight="true" outlineLevel="0" collapsed="false">
      <c r="A33" s="13" t="str">
        <f aca="false">STRIDE!A33</f>
        <v>T-29</v>
      </c>
      <c r="B33" s="5" t="str">
        <f aca="false">STRIDE!B33</f>
        <v>Fuga de la IP o datos del lector por imágenes externas en un post</v>
      </c>
      <c r="C33" s="10" t="n">
        <v>3</v>
      </c>
      <c r="D33" s="10" t="n">
        <v>8</v>
      </c>
      <c r="E33" s="10" t="n">
        <v>7</v>
      </c>
      <c r="F33" s="10" t="n">
        <v>6</v>
      </c>
      <c r="G33" s="10" t="n">
        <v>6</v>
      </c>
      <c r="H33" s="15" t="n">
        <f aca="false">AVERAGE(C33:G33)</f>
        <v>6</v>
      </c>
      <c r="I33" s="12" t="str">
        <f aca="false">IF(H33&gt;=Escalas!$B$11,"Alto",IF(H33&gt;=Escalas!$B$12,"Medio","Bajo"))</f>
        <v>Medio</v>
      </c>
      <c r="J33" s="5" t="s">
        <v>415</v>
      </c>
    </row>
    <row r="35" customFormat="false" ht="15" hidden="false" customHeight="true" outlineLevel="0" collapsed="false">
      <c r="B35" s="4" t="s">
        <v>416</v>
      </c>
      <c r="C35" s="14" t="s">
        <v>417</v>
      </c>
    </row>
    <row r="36" customFormat="false" ht="15" hidden="false" customHeight="true" outlineLevel="0" collapsed="false">
      <c r="B36" s="5" t="s">
        <v>418</v>
      </c>
      <c r="C36" s="12" t="n">
        <f aca="false">COUNTIF($I$5:$I$33,B36)</f>
        <v>11</v>
      </c>
    </row>
    <row r="37" customFormat="false" ht="15" hidden="false" customHeight="true" outlineLevel="0" collapsed="false">
      <c r="B37" s="5" t="s">
        <v>419</v>
      </c>
      <c r="C37" s="12" t="n">
        <f aca="false">COUNTIF($I$5:$I$33,B37)</f>
        <v>17</v>
      </c>
    </row>
    <row r="38" customFormat="false" ht="15" hidden="false" customHeight="true" outlineLevel="0" collapsed="false">
      <c r="B38" s="5" t="s">
        <v>420</v>
      </c>
      <c r="C38" s="12" t="n">
        <f aca="false">COUNTIF($I$5:$I$33,B38)</f>
        <v>1</v>
      </c>
    </row>
  </sheetData>
  <dataValidations count="1">
    <dataValidation allowBlank="false" error="Ingresá un número entero de 1 a 10" errorStyle="stop" operator="between" showDropDown="false" showErrorMessage="false" showInputMessage="false" sqref="C5:G33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62"/>
    <col collapsed="false" customWidth="true" hidden="false" outlineLevel="0" max="10" min="10" style="1" width="44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11"/>
    <col collapsed="false" customWidth="true" hidden="false" outlineLevel="0" max="15" min="15" style="1" width="14"/>
    <col collapsed="false" customWidth="true" hidden="false" outlineLevel="0" max="16" min="16" style="1" width="74"/>
    <col collapsed="false" customWidth="true" hidden="false" outlineLevel="0" max="17" min="17" style="1" width="14"/>
  </cols>
  <sheetData>
    <row r="1" customFormat="false" ht="17.25" hidden="false" customHeight="true" outlineLevel="0" collapsed="false">
      <c r="A1" s="2" t="s">
        <v>421</v>
      </c>
    </row>
    <row r="2" customFormat="false" ht="15" hidden="false" customHeight="true" outlineLevel="0" collapsed="false">
      <c r="A2" s="3" t="s">
        <v>422</v>
      </c>
    </row>
    <row r="4" customFormat="false" ht="31.5" hidden="false" customHeight="true" outlineLevel="0" collapsed="false">
      <c r="A4" s="9" t="s">
        <v>88</v>
      </c>
      <c r="B4" s="9" t="s">
        <v>263</v>
      </c>
      <c r="C4" s="9" t="s">
        <v>423</v>
      </c>
      <c r="D4" s="9" t="s">
        <v>424</v>
      </c>
      <c r="E4" s="9" t="s">
        <v>425</v>
      </c>
      <c r="F4" s="9" t="s">
        <v>426</v>
      </c>
      <c r="G4" s="9" t="s">
        <v>427</v>
      </c>
      <c r="H4" s="9" t="s">
        <v>428</v>
      </c>
      <c r="I4" s="9" t="s">
        <v>429</v>
      </c>
      <c r="J4" s="9" t="s">
        <v>430</v>
      </c>
      <c r="K4" s="9" t="s">
        <v>431</v>
      </c>
      <c r="L4" s="9" t="s">
        <v>432</v>
      </c>
      <c r="M4" s="9" t="s">
        <v>433</v>
      </c>
      <c r="N4" s="9" t="s">
        <v>434</v>
      </c>
      <c r="O4" s="9" t="s">
        <v>435</v>
      </c>
      <c r="P4" s="9" t="s">
        <v>436</v>
      </c>
      <c r="Q4" s="9" t="s">
        <v>437</v>
      </c>
    </row>
    <row r="5" customFormat="false" ht="34.5" hidden="false" customHeight="true" outlineLevel="0" collapsed="false">
      <c r="A5" s="13" t="str">
        <f aca="false">STRIDE!A5</f>
        <v>T-01</v>
      </c>
      <c r="B5" s="5" t="str">
        <f aca="false">STRIDE!B5</f>
        <v>Adivinación o robo de contraseñas (fuerza bruta y credential stuffing)</v>
      </c>
      <c r="C5" s="10" t="s">
        <v>438</v>
      </c>
      <c r="D5" s="10" t="s">
        <v>439</v>
      </c>
      <c r="E5" s="12" t="n">
        <f aca="false">MIN(5,MAX(1,ROUND(AVERAGE(DREAD!D5,DREAD!E5,DREAD!G5)/Escalas!$B$16,0)))</f>
        <v>4</v>
      </c>
      <c r="F5" s="12" t="n">
        <f aca="false">MIN(5,MAX(1,ROUND(AVERAGE(DREAD!C5,DREAD!F5)/Escalas!$B$16,0)))</f>
        <v>3</v>
      </c>
      <c r="G5" s="12" t="n">
        <f aca="false">E5*F5</f>
        <v>12</v>
      </c>
      <c r="H5" s="12" t="str">
        <f aca="false">IF(G5&gt;=Escalas!$B$13,"Crítico",IF(G5&gt;=Escalas!$B$14,"Alto",IF(G5&gt;=Escalas!$B$15,"Medio","Bajo")))</f>
        <v>Alto</v>
      </c>
      <c r="I5" s="5" t="s">
        <v>440</v>
      </c>
      <c r="J5" s="5" t="s">
        <v>441</v>
      </c>
      <c r="K5" s="16" t="n">
        <v>2</v>
      </c>
      <c r="L5" s="16" t="n">
        <v>3</v>
      </c>
      <c r="M5" s="12" t="n">
        <f aca="false">IF(OR(K5="",L5=""),"",K5*L5)</f>
        <v>6</v>
      </c>
      <c r="N5" s="12" t="str">
        <f aca="false">IF(M5="","",IF(M5&gt;=Escalas!$B$13,"Crítico",IF(M5&gt;=Escalas!$B$14,"Alto",IF(M5&gt;=Escalas!$B$15,"Medio","Bajo"))))</f>
        <v>Medio</v>
      </c>
      <c r="O5" s="16" t="s">
        <v>442</v>
      </c>
      <c r="P5" s="8" t="s">
        <v>443</v>
      </c>
      <c r="Q5" s="16" t="s">
        <v>444</v>
      </c>
    </row>
    <row r="6" customFormat="false" ht="23.25" hidden="false" customHeight="true" outlineLevel="0" collapsed="false">
      <c r="A6" s="13" t="str">
        <f aca="false">STRIDE!A6</f>
        <v>T-02</v>
      </c>
      <c r="B6" s="5" t="str">
        <f aca="false">STRIDE!B6</f>
        <v>Fuerza bruta del segundo factor (código TOTP de 6 dígitos)</v>
      </c>
      <c r="C6" s="10" t="s">
        <v>438</v>
      </c>
      <c r="D6" s="10" t="s">
        <v>445</v>
      </c>
      <c r="E6" s="12" t="n">
        <f aca="false">MIN(5,MAX(1,ROUND(AVERAGE(DREAD!D6,DREAD!E6,DREAD!G6)/Escalas!$B$16,0)))</f>
        <v>3</v>
      </c>
      <c r="F6" s="12" t="n">
        <f aca="false">MIN(5,MAX(1,ROUND(AVERAGE(DREAD!C6,DREAD!F6)/Escalas!$B$16,0)))</f>
        <v>3</v>
      </c>
      <c r="G6" s="12" t="n">
        <f aca="false">E6*F6</f>
        <v>9</v>
      </c>
      <c r="H6" s="12" t="str">
        <f aca="false">IF(G6&gt;=Escalas!$B$13,"Crítico",IF(G6&gt;=Escalas!$B$14,"Alto",IF(G6&gt;=Escalas!$B$15,"Medio","Bajo")))</f>
        <v>Medio</v>
      </c>
      <c r="I6" s="5" t="s">
        <v>446</v>
      </c>
      <c r="J6" s="5" t="s">
        <v>447</v>
      </c>
      <c r="K6" s="16" t="n">
        <v>1</v>
      </c>
      <c r="L6" s="16" t="n">
        <v>3</v>
      </c>
      <c r="M6" s="12" t="n">
        <f aca="false">IF(OR(K6="",L6=""),"",K6*L6)</f>
        <v>3</v>
      </c>
      <c r="N6" s="12" t="str">
        <f aca="false">IF(M6="","",IF(M6&gt;=Escalas!$B$13,"Crítico",IF(M6&gt;=Escalas!$B$14,"Alto",IF(M6&gt;=Escalas!$B$15,"Medio","Bajo"))))</f>
        <v>Bajo</v>
      </c>
      <c r="O6" s="16" t="s">
        <v>442</v>
      </c>
      <c r="P6" s="8" t="s">
        <v>448</v>
      </c>
      <c r="Q6" s="16" t="s">
        <v>444</v>
      </c>
    </row>
    <row r="7" customFormat="false" ht="15" hidden="false" customHeight="true" outlineLevel="0" collapsed="false">
      <c r="A7" s="13" t="str">
        <f aca="false">STRIDE!A7</f>
        <v>T-03</v>
      </c>
      <c r="B7" s="5" t="str">
        <f aca="false">STRIDE!B7</f>
        <v>Reutilización (replay) de un código TOTP interceptado</v>
      </c>
      <c r="C7" s="10" t="s">
        <v>438</v>
      </c>
      <c r="D7" s="10" t="s">
        <v>445</v>
      </c>
      <c r="E7" s="12" t="n">
        <f aca="false">MIN(5,MAX(1,ROUND(AVERAGE(DREAD!D7,DREAD!E7,DREAD!G7)/Escalas!$B$16,0)))</f>
        <v>2</v>
      </c>
      <c r="F7" s="12" t="n">
        <f aca="false">MIN(5,MAX(1,ROUND(AVERAGE(DREAD!C7,DREAD!F7)/Escalas!$B$16,0)))</f>
        <v>3</v>
      </c>
      <c r="G7" s="12" t="n">
        <f aca="false">E7*F7</f>
        <v>6</v>
      </c>
      <c r="H7" s="12" t="str">
        <f aca="false">IF(G7&gt;=Escalas!$B$13,"Crítico",IF(G7&gt;=Escalas!$B$14,"Alto",IF(G7&gt;=Escalas!$B$15,"Medio","Bajo")))</f>
        <v>Medio</v>
      </c>
      <c r="I7" s="5" t="s">
        <v>449</v>
      </c>
      <c r="J7" s="5" t="s">
        <v>450</v>
      </c>
      <c r="K7" s="16" t="n">
        <v>1</v>
      </c>
      <c r="L7" s="16" t="n">
        <v>3</v>
      </c>
      <c r="M7" s="12" t="n">
        <f aca="false">IF(OR(K7="",L7=""),"",K7*L7)</f>
        <v>3</v>
      </c>
      <c r="N7" s="12" t="str">
        <f aca="false">IF(M7="","",IF(M7&gt;=Escalas!$B$13,"Crítico",IF(M7&gt;=Escalas!$B$14,"Alto",IF(M7&gt;=Escalas!$B$15,"Medio","Bajo"))))</f>
        <v>Bajo</v>
      </c>
      <c r="O7" s="16" t="s">
        <v>442</v>
      </c>
      <c r="P7" s="8" t="s">
        <v>451</v>
      </c>
      <c r="Q7" s="16" t="s">
        <v>444</v>
      </c>
    </row>
    <row r="8" customFormat="false" ht="23.25" hidden="false" customHeight="true" outlineLevel="0" collapsed="false">
      <c r="A8" s="13" t="str">
        <f aca="false">STRIDE!A8</f>
        <v>T-04</v>
      </c>
      <c r="B8" s="5" t="str">
        <f aca="false">STRIDE!B8</f>
        <v>Robo de sesión por XSS (cookie accesible por JavaScript)</v>
      </c>
      <c r="C8" s="10" t="s">
        <v>161</v>
      </c>
      <c r="D8" s="10" t="s">
        <v>439</v>
      </c>
      <c r="E8" s="12" t="n">
        <f aca="false">MIN(5,MAX(1,ROUND(AVERAGE(DREAD!D8,DREAD!E8,DREAD!G8)/Escalas!$B$16,0)))</f>
        <v>3</v>
      </c>
      <c r="F8" s="12" t="n">
        <f aca="false">MIN(5,MAX(1,ROUND(AVERAGE(DREAD!C8,DREAD!F8)/Escalas!$B$16,0)))</f>
        <v>4</v>
      </c>
      <c r="G8" s="12" t="n">
        <f aca="false">E8*F8</f>
        <v>12</v>
      </c>
      <c r="H8" s="12" t="str">
        <f aca="false">IF(G8&gt;=Escalas!$B$13,"Crítico",IF(G8&gt;=Escalas!$B$14,"Alto",IF(G8&gt;=Escalas!$B$15,"Medio","Bajo")))</f>
        <v>Alto</v>
      </c>
      <c r="I8" s="5" t="s">
        <v>452</v>
      </c>
      <c r="J8" s="5" t="s">
        <v>453</v>
      </c>
      <c r="K8" s="16" t="n">
        <v>1</v>
      </c>
      <c r="L8" s="16" t="n">
        <v>4</v>
      </c>
      <c r="M8" s="12" t="n">
        <f aca="false">IF(OR(K8="",L8=""),"",K8*L8)</f>
        <v>4</v>
      </c>
      <c r="N8" s="12" t="str">
        <f aca="false">IF(M8="","",IF(M8&gt;=Escalas!$B$13,"Crítico",IF(M8&gt;=Escalas!$B$14,"Alto",IF(M8&gt;=Escalas!$B$15,"Medio","Bajo"))))</f>
        <v>Bajo</v>
      </c>
      <c r="O8" s="16" t="s">
        <v>442</v>
      </c>
      <c r="P8" s="8" t="s">
        <v>454</v>
      </c>
      <c r="Q8" s="16" t="s">
        <v>444</v>
      </c>
    </row>
    <row r="9" customFormat="false" ht="23.25" hidden="false" customHeight="true" outlineLevel="0" collapsed="false">
      <c r="A9" s="13" t="str">
        <f aca="false">STRIDE!A9</f>
        <v>T-05</v>
      </c>
      <c r="B9" s="5" t="str">
        <f aca="false">STRIDE!B9</f>
        <v>XSS almacenado en el contenido Markdown</v>
      </c>
      <c r="C9" s="10" t="s">
        <v>161</v>
      </c>
      <c r="D9" s="10" t="s">
        <v>439</v>
      </c>
      <c r="E9" s="12" t="n">
        <f aca="false">MIN(5,MAX(1,ROUND(AVERAGE(DREAD!D9,DREAD!E9,DREAD!G9)/Escalas!$B$16,0)))</f>
        <v>4</v>
      </c>
      <c r="F9" s="12" t="n">
        <f aca="false">MIN(5,MAX(1,ROUND(AVERAGE(DREAD!C9,DREAD!F9)/Escalas!$B$16,0)))</f>
        <v>4</v>
      </c>
      <c r="G9" s="12" t="n">
        <f aca="false">E9*F9</f>
        <v>16</v>
      </c>
      <c r="H9" s="12" t="str">
        <f aca="false">IF(G9&gt;=Escalas!$B$13,"Crítico",IF(G9&gt;=Escalas!$B$14,"Alto",IF(G9&gt;=Escalas!$B$15,"Medio","Bajo")))</f>
        <v>Alto</v>
      </c>
      <c r="I9" s="5" t="s">
        <v>455</v>
      </c>
      <c r="J9" s="5" t="s">
        <v>456</v>
      </c>
      <c r="K9" s="16" t="n">
        <v>1</v>
      </c>
      <c r="L9" s="16" t="n">
        <v>4</v>
      </c>
      <c r="M9" s="12" t="n">
        <f aca="false">IF(OR(K9="",L9=""),"",K9*L9)</f>
        <v>4</v>
      </c>
      <c r="N9" s="12" t="str">
        <f aca="false">IF(M9="","",IF(M9&gt;=Escalas!$B$13,"Crítico",IF(M9&gt;=Escalas!$B$14,"Alto",IF(M9&gt;=Escalas!$B$15,"Medio","Bajo"))))</f>
        <v>Bajo</v>
      </c>
      <c r="O9" s="16" t="s">
        <v>442</v>
      </c>
      <c r="P9" s="8" t="s">
        <v>457</v>
      </c>
      <c r="Q9" s="16" t="s">
        <v>444</v>
      </c>
    </row>
    <row r="10" customFormat="false" ht="23.25" hidden="false" customHeight="true" outlineLevel="0" collapsed="false">
      <c r="A10" s="13" t="str">
        <f aca="false">STRIDE!A10</f>
        <v>T-06</v>
      </c>
      <c r="B10" s="5" t="str">
        <f aca="false">STRIDE!B10</f>
        <v>Inyección NoSQL en inicio de sesión y consultas</v>
      </c>
      <c r="C10" s="10" t="s">
        <v>161</v>
      </c>
      <c r="D10" s="10" t="s">
        <v>458</v>
      </c>
      <c r="E10" s="12" t="n">
        <f aca="false">MIN(5,MAX(1,ROUND(AVERAGE(DREAD!D10,DREAD!E10,DREAD!G10)/Escalas!$B$16,0)))</f>
        <v>4</v>
      </c>
      <c r="F10" s="12" t="n">
        <f aca="false">MIN(5,MAX(1,ROUND(AVERAGE(DREAD!C10,DREAD!F10)/Escalas!$B$16,0)))</f>
        <v>5</v>
      </c>
      <c r="G10" s="12" t="n">
        <f aca="false">E10*F10</f>
        <v>20</v>
      </c>
      <c r="H10" s="12" t="str">
        <f aca="false">IF(G10&gt;=Escalas!$B$13,"Crítico",IF(G10&gt;=Escalas!$B$14,"Alto",IF(G10&gt;=Escalas!$B$15,"Medio","Bajo")))</f>
        <v>Crítico</v>
      </c>
      <c r="I10" s="5" t="s">
        <v>459</v>
      </c>
      <c r="J10" s="5" t="s">
        <v>460</v>
      </c>
      <c r="K10" s="16" t="n">
        <v>1</v>
      </c>
      <c r="L10" s="16" t="n">
        <v>5</v>
      </c>
      <c r="M10" s="12" t="n">
        <f aca="false">IF(OR(K10="",L10=""),"",K10*L10)</f>
        <v>5</v>
      </c>
      <c r="N10" s="12" t="str">
        <f aca="false">IF(M10="","",IF(M10&gt;=Escalas!$B$13,"Crítico",IF(M10&gt;=Escalas!$B$14,"Alto",IF(M10&gt;=Escalas!$B$15,"Medio","Bajo"))))</f>
        <v>Medio</v>
      </c>
      <c r="O10" s="16" t="s">
        <v>442</v>
      </c>
      <c r="P10" s="8" t="s">
        <v>461</v>
      </c>
      <c r="Q10" s="16" t="s">
        <v>444</v>
      </c>
    </row>
    <row r="11" customFormat="false" ht="23.25" hidden="false" customHeight="true" outlineLevel="0" collapsed="false">
      <c r="A11" s="13" t="str">
        <f aca="false">STRIDE!A11</f>
        <v>T-07</v>
      </c>
      <c r="B11" s="5" t="str">
        <f aca="false">STRIDE!B11</f>
        <v>Acceso a recursos ajenos (IDOR o BOLA en posts e imágenes)</v>
      </c>
      <c r="C11" s="10" t="s">
        <v>161</v>
      </c>
      <c r="D11" s="10" t="s">
        <v>458</v>
      </c>
      <c r="E11" s="12" t="n">
        <f aca="false">MIN(5,MAX(1,ROUND(AVERAGE(DREAD!D11,DREAD!E11,DREAD!G11)/Escalas!$B$16,0)))</f>
        <v>4</v>
      </c>
      <c r="F11" s="12" t="n">
        <f aca="false">MIN(5,MAX(1,ROUND(AVERAGE(DREAD!C11,DREAD!F11)/Escalas!$B$16,0)))</f>
        <v>3</v>
      </c>
      <c r="G11" s="12" t="n">
        <f aca="false">E11*F11</f>
        <v>12</v>
      </c>
      <c r="H11" s="12" t="str">
        <f aca="false">IF(G11&gt;=Escalas!$B$13,"Crítico",IF(G11&gt;=Escalas!$B$14,"Alto",IF(G11&gt;=Escalas!$B$15,"Medio","Bajo")))</f>
        <v>Alto</v>
      </c>
      <c r="I11" s="5" t="s">
        <v>462</v>
      </c>
      <c r="J11" s="5" t="s">
        <v>463</v>
      </c>
      <c r="K11" s="16" t="n">
        <v>1</v>
      </c>
      <c r="L11" s="16" t="n">
        <v>3</v>
      </c>
      <c r="M11" s="12" t="n">
        <f aca="false">IF(OR(K11="",L11=""),"",K11*L11)</f>
        <v>3</v>
      </c>
      <c r="N11" s="12" t="str">
        <f aca="false">IF(M11="","",IF(M11&gt;=Escalas!$B$13,"Crítico",IF(M11&gt;=Escalas!$B$14,"Alto",IF(M11&gt;=Escalas!$B$15,"Medio","Bajo"))))</f>
        <v>Bajo</v>
      </c>
      <c r="O11" s="16" t="s">
        <v>442</v>
      </c>
      <c r="P11" s="8" t="s">
        <v>464</v>
      </c>
      <c r="Q11" s="16" t="s">
        <v>444</v>
      </c>
    </row>
    <row r="12" customFormat="false" ht="23.25" hidden="false" customHeight="true" outlineLevel="0" collapsed="false">
      <c r="A12" s="13" t="str">
        <f aca="false">STRIDE!A12</f>
        <v>T-08</v>
      </c>
      <c r="B12" s="5" t="str">
        <f aca="false">STRIDE!B12</f>
        <v>Escalada de privilegios a administrador (asignación masiva o rol manipulado)</v>
      </c>
      <c r="C12" s="10" t="s">
        <v>438</v>
      </c>
      <c r="D12" s="10" t="s">
        <v>445</v>
      </c>
      <c r="E12" s="12" t="n">
        <f aca="false">MIN(5,MAX(1,ROUND(AVERAGE(DREAD!D12,DREAD!E12,DREAD!G12)/Escalas!$B$16,0)))</f>
        <v>3</v>
      </c>
      <c r="F12" s="12" t="n">
        <f aca="false">MIN(5,MAX(1,ROUND(AVERAGE(DREAD!C12,DREAD!F12)/Escalas!$B$16,0)))</f>
        <v>5</v>
      </c>
      <c r="G12" s="12" t="n">
        <f aca="false">E12*F12</f>
        <v>15</v>
      </c>
      <c r="H12" s="12" t="str">
        <f aca="false">IF(G12&gt;=Escalas!$B$13,"Crítico",IF(G12&gt;=Escalas!$B$14,"Alto",IF(G12&gt;=Escalas!$B$15,"Medio","Bajo")))</f>
        <v>Alto</v>
      </c>
      <c r="I12" s="5" t="s">
        <v>465</v>
      </c>
      <c r="J12" s="5" t="s">
        <v>466</v>
      </c>
      <c r="K12" s="16" t="n">
        <v>1</v>
      </c>
      <c r="L12" s="16" t="n">
        <v>5</v>
      </c>
      <c r="M12" s="12" t="n">
        <f aca="false">IF(OR(K12="",L12=""),"",K12*L12)</f>
        <v>5</v>
      </c>
      <c r="N12" s="12" t="str">
        <f aca="false">IF(M12="","",IF(M12&gt;=Escalas!$B$13,"Crítico",IF(M12&gt;=Escalas!$B$14,"Alto",IF(M12&gt;=Escalas!$B$15,"Medio","Bajo"))))</f>
        <v>Medio</v>
      </c>
      <c r="O12" s="16" t="s">
        <v>442</v>
      </c>
      <c r="P12" s="8" t="s">
        <v>467</v>
      </c>
      <c r="Q12" s="16" t="s">
        <v>444</v>
      </c>
    </row>
    <row r="13" customFormat="false" ht="34.5" hidden="false" customHeight="true" outlineLevel="0" collapsed="false">
      <c r="A13" s="13" t="str">
        <f aca="false">STRIDE!A13</f>
        <v>T-09</v>
      </c>
      <c r="B13" s="5" t="str">
        <f aca="false">STRIDE!B13</f>
        <v>Subida de archivos maliciosos (SVG con script, políglotas)</v>
      </c>
      <c r="C13" s="10" t="s">
        <v>161</v>
      </c>
      <c r="D13" s="10" t="s">
        <v>445</v>
      </c>
      <c r="E13" s="12" t="n">
        <f aca="false">MIN(5,MAX(1,ROUND(AVERAGE(DREAD!D13,DREAD!E13,DREAD!G13)/Escalas!$B$16,0)))</f>
        <v>3</v>
      </c>
      <c r="F13" s="12" t="n">
        <f aca="false">MIN(5,MAX(1,ROUND(AVERAGE(DREAD!C13,DREAD!F13)/Escalas!$B$16,0)))</f>
        <v>4</v>
      </c>
      <c r="G13" s="12" t="n">
        <f aca="false">E13*F13</f>
        <v>12</v>
      </c>
      <c r="H13" s="12" t="str">
        <f aca="false">IF(G13&gt;=Escalas!$B$13,"Crítico",IF(G13&gt;=Escalas!$B$14,"Alto",IF(G13&gt;=Escalas!$B$15,"Medio","Bajo")))</f>
        <v>Alto</v>
      </c>
      <c r="I13" s="5" t="s">
        <v>468</v>
      </c>
      <c r="J13" s="5" t="s">
        <v>469</v>
      </c>
      <c r="K13" s="16" t="n">
        <v>1</v>
      </c>
      <c r="L13" s="16" t="n">
        <v>4</v>
      </c>
      <c r="M13" s="12" t="n">
        <f aca="false">IF(OR(K13="",L13=""),"",K13*L13)</f>
        <v>4</v>
      </c>
      <c r="N13" s="12" t="str">
        <f aca="false">IF(M13="","",IF(M13&gt;=Escalas!$B$13,"Crítico",IF(M13&gt;=Escalas!$B$14,"Alto",IF(M13&gt;=Escalas!$B$15,"Medio","Bajo"))))</f>
        <v>Bajo</v>
      </c>
      <c r="O13" s="16" t="s">
        <v>442</v>
      </c>
      <c r="P13" s="8" t="s">
        <v>470</v>
      </c>
      <c r="Q13" s="16" t="s">
        <v>444</v>
      </c>
    </row>
    <row r="14" customFormat="false" ht="23.25" hidden="false" customHeight="true" outlineLevel="0" collapsed="false">
      <c r="A14" s="13" t="str">
        <f aca="false">STRIDE!A14</f>
        <v>T-10</v>
      </c>
      <c r="B14" s="5" t="str">
        <f aca="false">STRIDE!B14</f>
        <v>Path traversal al descargar imágenes</v>
      </c>
      <c r="C14" s="10" t="s">
        <v>161</v>
      </c>
      <c r="D14" s="10" t="s">
        <v>458</v>
      </c>
      <c r="E14" s="12" t="n">
        <f aca="false">MIN(5,MAX(1,ROUND(AVERAGE(DREAD!D14,DREAD!E14,DREAD!G14)/Escalas!$B$16,0)))</f>
        <v>3</v>
      </c>
      <c r="F14" s="12" t="n">
        <f aca="false">MIN(5,MAX(1,ROUND(AVERAGE(DREAD!C14,DREAD!F14)/Escalas!$B$16,0)))</f>
        <v>4</v>
      </c>
      <c r="G14" s="12" t="n">
        <f aca="false">E14*F14</f>
        <v>12</v>
      </c>
      <c r="H14" s="12" t="str">
        <f aca="false">IF(G14&gt;=Escalas!$B$13,"Crítico",IF(G14&gt;=Escalas!$B$14,"Alto",IF(G14&gt;=Escalas!$B$15,"Medio","Bajo")))</f>
        <v>Alto</v>
      </c>
      <c r="I14" s="5" t="s">
        <v>471</v>
      </c>
      <c r="J14" s="5" t="s">
        <v>472</v>
      </c>
      <c r="K14" s="16" t="n">
        <v>1</v>
      </c>
      <c r="L14" s="16" t="n">
        <v>3</v>
      </c>
      <c r="M14" s="12" t="n">
        <f aca="false">IF(OR(K14="",L14=""),"",K14*L14)</f>
        <v>3</v>
      </c>
      <c r="N14" s="12" t="str">
        <f aca="false">IF(M14="","",IF(M14&gt;=Escalas!$B$13,"Crítico",IF(M14&gt;=Escalas!$B$14,"Alto",IF(M14&gt;=Escalas!$B$15,"Medio","Bajo"))))</f>
        <v>Bajo</v>
      </c>
      <c r="O14" s="16" t="s">
        <v>442</v>
      </c>
      <c r="P14" s="8" t="s">
        <v>473</v>
      </c>
      <c r="Q14" s="16" t="s">
        <v>444</v>
      </c>
    </row>
    <row r="15" customFormat="false" ht="23.25" hidden="false" customHeight="true" outlineLevel="0" collapsed="false">
      <c r="A15" s="13" t="str">
        <f aca="false">STRIDE!A15</f>
        <v>T-11</v>
      </c>
      <c r="B15" s="5" t="str">
        <f aca="false">STRIDE!B15</f>
        <v>Enumeración de usuarios por el mensaje de correo ya registrado</v>
      </c>
      <c r="C15" s="10" t="s">
        <v>438</v>
      </c>
      <c r="D15" s="10" t="s">
        <v>458</v>
      </c>
      <c r="E15" s="12" t="n">
        <f aca="false">MIN(5,MAX(1,ROUND(AVERAGE(DREAD!D15,DREAD!E15,DREAD!G15)/Escalas!$B$16,0)))</f>
        <v>4</v>
      </c>
      <c r="F15" s="12" t="n">
        <f aca="false">MIN(5,MAX(1,ROUND(AVERAGE(DREAD!C15,DREAD!F15)/Escalas!$B$16,0)))</f>
        <v>2</v>
      </c>
      <c r="G15" s="12" t="n">
        <f aca="false">E15*F15</f>
        <v>8</v>
      </c>
      <c r="H15" s="12" t="str">
        <f aca="false">IF(G15&gt;=Escalas!$B$13,"Crítico",IF(G15&gt;=Escalas!$B$14,"Alto",IF(G15&gt;=Escalas!$B$15,"Medio","Bajo")))</f>
        <v>Medio</v>
      </c>
      <c r="I15" s="5" t="s">
        <v>474</v>
      </c>
      <c r="J15" s="5" t="s">
        <v>475</v>
      </c>
      <c r="K15" s="16" t="n">
        <v>3</v>
      </c>
      <c r="L15" s="16" t="n">
        <v>2</v>
      </c>
      <c r="M15" s="12" t="n">
        <f aca="false">IF(OR(K15="",L15=""),"",K15*L15)</f>
        <v>6</v>
      </c>
      <c r="N15" s="12" t="str">
        <f aca="false">IF(M15="","",IF(M15&gt;=Escalas!$B$13,"Crítico",IF(M15&gt;=Escalas!$B$14,"Alto",IF(M15&gt;=Escalas!$B$15,"Medio","Bajo"))))</f>
        <v>Medio</v>
      </c>
      <c r="O15" s="16" t="s">
        <v>476</v>
      </c>
      <c r="P15" s="8" t="s">
        <v>477</v>
      </c>
      <c r="Q15" s="16" t="s">
        <v>478</v>
      </c>
    </row>
    <row r="16" customFormat="false" ht="23.25" hidden="false" customHeight="true" outlineLevel="0" collapsed="false">
      <c r="A16" s="13" t="str">
        <f aca="false">STRIDE!A16</f>
        <v>T-12</v>
      </c>
      <c r="B16" s="5" t="str">
        <f aca="false">STRIDE!B16</f>
        <v>Fuga de secretos en el repositorio o su historial</v>
      </c>
      <c r="C16" s="10" t="s">
        <v>438</v>
      </c>
      <c r="D16" s="10" t="s">
        <v>479</v>
      </c>
      <c r="E16" s="12" t="n">
        <f aca="false">MIN(5,MAX(1,ROUND(AVERAGE(DREAD!D16,DREAD!E16,DREAD!G16)/Escalas!$B$16,0)))</f>
        <v>3</v>
      </c>
      <c r="F16" s="12" t="n">
        <f aca="false">MIN(5,MAX(1,ROUND(AVERAGE(DREAD!C16,DREAD!F16)/Escalas!$B$16,0)))</f>
        <v>5</v>
      </c>
      <c r="G16" s="12" t="n">
        <f aca="false">E16*F16</f>
        <v>15</v>
      </c>
      <c r="H16" s="12" t="str">
        <f aca="false">IF(G16&gt;=Escalas!$B$13,"Crítico",IF(G16&gt;=Escalas!$B$14,"Alto",IF(G16&gt;=Escalas!$B$15,"Medio","Bajo")))</f>
        <v>Alto</v>
      </c>
      <c r="I16" s="5" t="s">
        <v>480</v>
      </c>
      <c r="J16" s="5" t="s">
        <v>481</v>
      </c>
      <c r="K16" s="16" t="n">
        <v>1</v>
      </c>
      <c r="L16" s="16" t="n">
        <v>5</v>
      </c>
      <c r="M16" s="12" t="n">
        <f aca="false">IF(OR(K16="",L16=""),"",K16*L16)</f>
        <v>5</v>
      </c>
      <c r="N16" s="12" t="str">
        <f aca="false">IF(M16="","",IF(M16&gt;=Escalas!$B$13,"Crítico",IF(M16&gt;=Escalas!$B$14,"Alto",IF(M16&gt;=Escalas!$B$15,"Medio","Bajo"))))</f>
        <v>Medio</v>
      </c>
      <c r="O16" s="16" t="s">
        <v>442</v>
      </c>
      <c r="P16" s="8" t="s">
        <v>482</v>
      </c>
      <c r="Q16" s="16" t="s">
        <v>444</v>
      </c>
    </row>
    <row r="17" customFormat="false" ht="23.25" hidden="false" customHeight="true" outlineLevel="0" collapsed="false">
      <c r="A17" s="13" t="str">
        <f aca="false">STRIDE!A17</f>
        <v>T-13</v>
      </c>
      <c r="B17" s="5" t="str">
        <f aca="false">STRIDE!B17</f>
        <v>Fuga de la base de datos con hashes y semillas MFA</v>
      </c>
      <c r="C17" s="10" t="s">
        <v>483</v>
      </c>
      <c r="D17" s="10" t="s">
        <v>458</v>
      </c>
      <c r="E17" s="12" t="n">
        <f aca="false">MIN(5,MAX(1,ROUND(AVERAGE(DREAD!D17,DREAD!E17,DREAD!G17)/Escalas!$B$16,0)))</f>
        <v>2</v>
      </c>
      <c r="F17" s="12" t="n">
        <f aca="false">MIN(5,MAX(1,ROUND(AVERAGE(DREAD!C17,DREAD!F17)/Escalas!$B$16,0)))</f>
        <v>5</v>
      </c>
      <c r="G17" s="12" t="n">
        <f aca="false">E17*F17</f>
        <v>10</v>
      </c>
      <c r="H17" s="12" t="str">
        <f aca="false">IF(G17&gt;=Escalas!$B$13,"Crítico",IF(G17&gt;=Escalas!$B$14,"Alto",IF(G17&gt;=Escalas!$B$15,"Medio","Bajo")))</f>
        <v>Alto</v>
      </c>
      <c r="I17" s="5" t="s">
        <v>484</v>
      </c>
      <c r="J17" s="5" t="s">
        <v>485</v>
      </c>
      <c r="K17" s="16" t="n">
        <v>1</v>
      </c>
      <c r="L17" s="16" t="n">
        <v>5</v>
      </c>
      <c r="M17" s="12" t="n">
        <f aca="false">IF(OR(K17="",L17=""),"",K17*L17)</f>
        <v>5</v>
      </c>
      <c r="N17" s="12" t="str">
        <f aca="false">IF(M17="","",IF(M17&gt;=Escalas!$B$13,"Crítico",IF(M17&gt;=Escalas!$B$14,"Alto",IF(M17&gt;=Escalas!$B$15,"Medio","Bajo"))))</f>
        <v>Medio</v>
      </c>
      <c r="O17" s="16" t="s">
        <v>442</v>
      </c>
      <c r="P17" s="8" t="s">
        <v>486</v>
      </c>
      <c r="Q17" s="16" t="s">
        <v>444</v>
      </c>
    </row>
    <row r="18" customFormat="false" ht="23.25" hidden="false" customHeight="true" outlineLevel="0" collapsed="false">
      <c r="A18" s="13" t="str">
        <f aca="false">STRIDE!A18</f>
        <v>T-14</v>
      </c>
      <c r="B18" s="5" t="str">
        <f aca="false">STRIDE!B18</f>
        <v>Acciones sin trazabilidad (repudio)</v>
      </c>
      <c r="C18" s="10" t="s">
        <v>438</v>
      </c>
      <c r="D18" s="10" t="s">
        <v>458</v>
      </c>
      <c r="E18" s="12" t="n">
        <f aca="false">MIN(5,MAX(1,ROUND(AVERAGE(DREAD!D18,DREAD!E18,DREAD!G18)/Escalas!$B$16,0)))</f>
        <v>3</v>
      </c>
      <c r="F18" s="12" t="n">
        <f aca="false">MIN(5,MAX(1,ROUND(AVERAGE(DREAD!C18,DREAD!F18)/Escalas!$B$16,0)))</f>
        <v>3</v>
      </c>
      <c r="G18" s="12" t="n">
        <f aca="false">E18*F18</f>
        <v>9</v>
      </c>
      <c r="H18" s="12" t="str">
        <f aca="false">IF(G18&gt;=Escalas!$B$13,"Crítico",IF(G18&gt;=Escalas!$B$14,"Alto",IF(G18&gt;=Escalas!$B$15,"Medio","Bajo")))</f>
        <v>Medio</v>
      </c>
      <c r="I18" s="5" t="s">
        <v>487</v>
      </c>
      <c r="J18" s="5" t="s">
        <v>488</v>
      </c>
      <c r="K18" s="16" t="n">
        <v>2</v>
      </c>
      <c r="L18" s="16" t="n">
        <v>2</v>
      </c>
      <c r="M18" s="12" t="n">
        <f aca="false">IF(OR(K18="",L18=""),"",K18*L18)</f>
        <v>4</v>
      </c>
      <c r="N18" s="12" t="str">
        <f aca="false">IF(M18="","",IF(M18&gt;=Escalas!$B$13,"Crítico",IF(M18&gt;=Escalas!$B$14,"Alto",IF(M18&gt;=Escalas!$B$15,"Medio","Bajo"))))</f>
        <v>Bajo</v>
      </c>
      <c r="O18" s="16" t="s">
        <v>442</v>
      </c>
      <c r="P18" s="8" t="s">
        <v>489</v>
      </c>
      <c r="Q18" s="16" t="s">
        <v>444</v>
      </c>
    </row>
    <row r="19" customFormat="false" ht="23.25" hidden="false" customHeight="true" outlineLevel="0" collapsed="false">
      <c r="A19" s="13" t="str">
        <f aca="false">STRIDE!A19</f>
        <v>T-15</v>
      </c>
      <c r="B19" s="5" t="str">
        <f aca="false">STRIDE!B19</f>
        <v>Alteración o borrado de los registros de auditoría</v>
      </c>
      <c r="C19" s="10" t="s">
        <v>483</v>
      </c>
      <c r="D19" s="10" t="s">
        <v>458</v>
      </c>
      <c r="E19" s="12" t="n">
        <f aca="false">MIN(5,MAX(1,ROUND(AVERAGE(DREAD!D19,DREAD!E19,DREAD!G19)/Escalas!$B$16,0)))</f>
        <v>2</v>
      </c>
      <c r="F19" s="12" t="n">
        <f aca="false">MIN(5,MAX(1,ROUND(AVERAGE(DREAD!C19,DREAD!F19)/Escalas!$B$16,0)))</f>
        <v>4</v>
      </c>
      <c r="G19" s="12" t="n">
        <f aca="false">E19*F19</f>
        <v>8</v>
      </c>
      <c r="H19" s="12" t="str">
        <f aca="false">IF(G19&gt;=Escalas!$B$13,"Crítico",IF(G19&gt;=Escalas!$B$14,"Alto",IF(G19&gt;=Escalas!$B$15,"Medio","Bajo")))</f>
        <v>Medio</v>
      </c>
      <c r="I19" s="5" t="s">
        <v>490</v>
      </c>
      <c r="J19" s="5" t="s">
        <v>491</v>
      </c>
      <c r="K19" s="16" t="n">
        <v>2</v>
      </c>
      <c r="L19" s="16" t="n">
        <v>3</v>
      </c>
      <c r="M19" s="12" t="n">
        <f aca="false">IF(OR(K19="",L19=""),"",K19*L19)</f>
        <v>6</v>
      </c>
      <c r="N19" s="12" t="str">
        <f aca="false">IF(M19="","",IF(M19&gt;=Escalas!$B$13,"Crítico",IF(M19&gt;=Escalas!$B$14,"Alto",IF(M19&gt;=Escalas!$B$15,"Medio","Bajo"))))</f>
        <v>Medio</v>
      </c>
      <c r="O19" s="16" t="s">
        <v>442</v>
      </c>
      <c r="P19" s="8" t="s">
        <v>492</v>
      </c>
      <c r="Q19" s="16" t="s">
        <v>493</v>
      </c>
    </row>
    <row r="20" customFormat="false" ht="34.5" hidden="false" customHeight="true" outlineLevel="0" collapsed="false">
      <c r="A20" s="13" t="str">
        <f aca="false">STRIDE!A20</f>
        <v>T-16</v>
      </c>
      <c r="B20" s="5" t="str">
        <f aca="false">STRIDE!B20</f>
        <v>Denegación de servicio por volumen de peticiones</v>
      </c>
      <c r="C20" s="10" t="s">
        <v>483</v>
      </c>
      <c r="D20" s="10" t="s">
        <v>445</v>
      </c>
      <c r="E20" s="12" t="n">
        <f aca="false">MIN(5,MAX(1,ROUND(AVERAGE(DREAD!D20,DREAD!E20,DREAD!G20)/Escalas!$B$16,0)))</f>
        <v>4</v>
      </c>
      <c r="F20" s="12" t="n">
        <f aca="false">MIN(5,MAX(1,ROUND(AVERAGE(DREAD!C20,DREAD!F20)/Escalas!$B$16,0)))</f>
        <v>4</v>
      </c>
      <c r="G20" s="12" t="n">
        <f aca="false">E20*F20</f>
        <v>16</v>
      </c>
      <c r="H20" s="12" t="str">
        <f aca="false">IF(G20&gt;=Escalas!$B$13,"Crítico",IF(G20&gt;=Escalas!$B$14,"Alto",IF(G20&gt;=Escalas!$B$15,"Medio","Bajo")))</f>
        <v>Alto</v>
      </c>
      <c r="I20" s="5" t="s">
        <v>494</v>
      </c>
      <c r="J20" s="5" t="s">
        <v>495</v>
      </c>
      <c r="K20" s="16" t="n">
        <v>3</v>
      </c>
      <c r="L20" s="16" t="n">
        <v>3</v>
      </c>
      <c r="M20" s="12" t="n">
        <f aca="false">IF(OR(K20="",L20=""),"",K20*L20)</f>
        <v>9</v>
      </c>
      <c r="N20" s="12" t="str">
        <f aca="false">IF(M20="","",IF(M20&gt;=Escalas!$B$13,"Crítico",IF(M20&gt;=Escalas!$B$14,"Alto",IF(M20&gt;=Escalas!$B$15,"Medio","Bajo"))))</f>
        <v>Medio</v>
      </c>
      <c r="O20" s="16" t="s">
        <v>442</v>
      </c>
      <c r="P20" s="8" t="s">
        <v>496</v>
      </c>
      <c r="Q20" s="16" t="s">
        <v>444</v>
      </c>
    </row>
    <row r="21" customFormat="false" ht="23.25" hidden="false" customHeight="true" outlineLevel="0" collapsed="false">
      <c r="A21" s="13" t="str">
        <f aca="false">STRIDE!A21</f>
        <v>T-17</v>
      </c>
      <c r="B21" s="5" t="str">
        <f aca="false">STRIDE!B21</f>
        <v>Bloqueo intencional de una cuenta ajena (abuso del bloqueo de MFA)</v>
      </c>
      <c r="C21" s="10" t="s">
        <v>161</v>
      </c>
      <c r="D21" s="10" t="s">
        <v>445</v>
      </c>
      <c r="E21" s="12" t="n">
        <f aca="false">MIN(5,MAX(1,ROUND(AVERAGE(DREAD!D21,DREAD!E21,DREAD!G21)/Escalas!$B$16,0)))</f>
        <v>3</v>
      </c>
      <c r="F21" s="12" t="n">
        <f aca="false">MIN(5,MAX(1,ROUND(AVERAGE(DREAD!C21,DREAD!F21)/Escalas!$B$16,0)))</f>
        <v>1</v>
      </c>
      <c r="G21" s="12" t="n">
        <f aca="false">E21*F21</f>
        <v>3</v>
      </c>
      <c r="H21" s="12" t="str">
        <f aca="false">IF(G21&gt;=Escalas!$B$13,"Crítico",IF(G21&gt;=Escalas!$B$14,"Alto",IF(G21&gt;=Escalas!$B$15,"Medio","Bajo")))</f>
        <v>Bajo</v>
      </c>
      <c r="I21" s="5" t="s">
        <v>497</v>
      </c>
      <c r="J21" s="5" t="s">
        <v>498</v>
      </c>
      <c r="K21" s="16" t="n">
        <v>3</v>
      </c>
      <c r="L21" s="16" t="n">
        <v>1</v>
      </c>
      <c r="M21" s="12" t="n">
        <f aca="false">IF(OR(K21="",L21=""),"",K21*L21)</f>
        <v>3</v>
      </c>
      <c r="N21" s="12" t="str">
        <f aca="false">IF(M21="","",IF(M21&gt;=Escalas!$B$13,"Crítico",IF(M21&gt;=Escalas!$B$14,"Alto",IF(M21&gt;=Escalas!$B$15,"Medio","Bajo"))))</f>
        <v>Bajo</v>
      </c>
      <c r="O21" s="16" t="s">
        <v>476</v>
      </c>
      <c r="P21" s="8" t="s">
        <v>499</v>
      </c>
      <c r="Q21" s="16" t="s">
        <v>478</v>
      </c>
    </row>
    <row r="22" customFormat="false" ht="23.25" hidden="false" customHeight="true" outlineLevel="0" collapsed="false">
      <c r="A22" s="13" t="str">
        <f aca="false">STRIDE!A22</f>
        <v>T-18</v>
      </c>
      <c r="B22" s="5" t="str">
        <f aca="false">STRIDE!B22</f>
        <v>Dependencias de terceros vulnerables o comprometidas</v>
      </c>
      <c r="C22" s="10" t="s">
        <v>161</v>
      </c>
      <c r="D22" s="10" t="s">
        <v>445</v>
      </c>
      <c r="E22" s="12" t="n">
        <f aca="false">MIN(5,MAX(1,ROUND(AVERAGE(DREAD!D22,DREAD!E22,DREAD!G22)/Escalas!$B$16,0)))</f>
        <v>3</v>
      </c>
      <c r="F22" s="12" t="n">
        <f aca="false">MIN(5,MAX(1,ROUND(AVERAGE(DREAD!C22,DREAD!F22)/Escalas!$B$16,0)))</f>
        <v>5</v>
      </c>
      <c r="G22" s="12" t="n">
        <f aca="false">E22*F22</f>
        <v>15</v>
      </c>
      <c r="H22" s="12" t="str">
        <f aca="false">IF(G22&gt;=Escalas!$B$13,"Crítico",IF(G22&gt;=Escalas!$B$14,"Alto",IF(G22&gt;=Escalas!$B$15,"Medio","Bajo")))</f>
        <v>Alto</v>
      </c>
      <c r="I22" s="5" t="s">
        <v>500</v>
      </c>
      <c r="J22" s="5" t="s">
        <v>501</v>
      </c>
      <c r="K22" s="16" t="n">
        <v>2</v>
      </c>
      <c r="L22" s="16" t="n">
        <v>4</v>
      </c>
      <c r="M22" s="12" t="n">
        <f aca="false">IF(OR(K22="",L22=""),"",K22*L22)</f>
        <v>8</v>
      </c>
      <c r="N22" s="12" t="str">
        <f aca="false">IF(M22="","",IF(M22&gt;=Escalas!$B$13,"Crítico",IF(M22&gt;=Escalas!$B$14,"Alto",IF(M22&gt;=Escalas!$B$15,"Medio","Bajo"))))</f>
        <v>Medio</v>
      </c>
      <c r="O22" s="16" t="s">
        <v>442</v>
      </c>
      <c r="P22" s="8" t="s">
        <v>502</v>
      </c>
      <c r="Q22" s="16" t="s">
        <v>444</v>
      </c>
    </row>
    <row r="23" customFormat="false" ht="23.25" hidden="false" customHeight="true" outlineLevel="0" collapsed="false">
      <c r="A23" s="13" t="str">
        <f aca="false">STRIDE!A23</f>
        <v>T-19</v>
      </c>
      <c r="B23" s="5" t="str">
        <f aca="false">STRIDE!B23</f>
        <v>Imágenes de contenedor con vulnerabilidades conocidas</v>
      </c>
      <c r="C23" s="10" t="s">
        <v>483</v>
      </c>
      <c r="D23" s="10" t="s">
        <v>445</v>
      </c>
      <c r="E23" s="12" t="n">
        <f aca="false">MIN(5,MAX(1,ROUND(AVERAGE(DREAD!D23,DREAD!E23,DREAD!G23)/Escalas!$B$16,0)))</f>
        <v>3</v>
      </c>
      <c r="F23" s="12" t="n">
        <f aca="false">MIN(5,MAX(1,ROUND(AVERAGE(DREAD!C23,DREAD!F23)/Escalas!$B$16,0)))</f>
        <v>4</v>
      </c>
      <c r="G23" s="12" t="n">
        <f aca="false">E23*F23</f>
        <v>12</v>
      </c>
      <c r="H23" s="12" t="str">
        <f aca="false">IF(G23&gt;=Escalas!$B$13,"Crítico",IF(G23&gt;=Escalas!$B$14,"Alto",IF(G23&gt;=Escalas!$B$15,"Medio","Bajo")))</f>
        <v>Alto</v>
      </c>
      <c r="I23" s="5" t="s">
        <v>503</v>
      </c>
      <c r="J23" s="5" t="s">
        <v>504</v>
      </c>
      <c r="K23" s="16" t="n">
        <v>2</v>
      </c>
      <c r="L23" s="16" t="n">
        <v>3</v>
      </c>
      <c r="M23" s="12" t="n">
        <f aca="false">IF(OR(K23="",L23=""),"",K23*L23)</f>
        <v>6</v>
      </c>
      <c r="N23" s="12" t="str">
        <f aca="false">IF(M23="","",IF(M23&gt;=Escalas!$B$13,"Crítico",IF(M23&gt;=Escalas!$B$14,"Alto",IF(M23&gt;=Escalas!$B$15,"Medio","Bajo"))))</f>
        <v>Medio</v>
      </c>
      <c r="O23" s="16" t="s">
        <v>442</v>
      </c>
      <c r="P23" s="8" t="s">
        <v>505</v>
      </c>
      <c r="Q23" s="16" t="s">
        <v>444</v>
      </c>
    </row>
    <row r="24" customFormat="false" ht="34.5" hidden="false" customHeight="true" outlineLevel="0" collapsed="false">
      <c r="A24" s="13" t="str">
        <f aca="false">STRIDE!A24</f>
        <v>T-20</v>
      </c>
      <c r="B24" s="5" t="str">
        <f aca="false">STRIDE!B24</f>
        <v>Compromiso del pipeline CI/CD o de acciones de terceros</v>
      </c>
      <c r="C24" s="10" t="s">
        <v>161</v>
      </c>
      <c r="D24" s="10" t="s">
        <v>439</v>
      </c>
      <c r="E24" s="12" t="n">
        <f aca="false">MIN(5,MAX(1,ROUND(AVERAGE(DREAD!D24,DREAD!E24,DREAD!G24)/Escalas!$B$16,0)))</f>
        <v>2</v>
      </c>
      <c r="F24" s="12" t="n">
        <f aca="false">MIN(5,MAX(1,ROUND(AVERAGE(DREAD!C24,DREAD!F24)/Escalas!$B$16,0)))</f>
        <v>5</v>
      </c>
      <c r="G24" s="12" t="n">
        <f aca="false">E24*F24</f>
        <v>10</v>
      </c>
      <c r="H24" s="12" t="str">
        <f aca="false">IF(G24&gt;=Escalas!$B$13,"Crítico",IF(G24&gt;=Escalas!$B$14,"Alto",IF(G24&gt;=Escalas!$B$15,"Medio","Bajo")))</f>
        <v>Alto</v>
      </c>
      <c r="I24" s="5" t="s">
        <v>506</v>
      </c>
      <c r="J24" s="5" t="s">
        <v>507</v>
      </c>
      <c r="K24" s="16" t="n">
        <v>2</v>
      </c>
      <c r="L24" s="16" t="n">
        <v>4</v>
      </c>
      <c r="M24" s="12" t="n">
        <f aca="false">IF(OR(K24="",L24=""),"",K24*L24)</f>
        <v>8</v>
      </c>
      <c r="N24" s="12" t="str">
        <f aca="false">IF(M24="","",IF(M24&gt;=Escalas!$B$13,"Crítico",IF(M24&gt;=Escalas!$B$14,"Alto",IF(M24&gt;=Escalas!$B$15,"Medio","Bajo"))))</f>
        <v>Medio</v>
      </c>
      <c r="O24" s="16" t="s">
        <v>442</v>
      </c>
      <c r="P24" s="8" t="s">
        <v>508</v>
      </c>
      <c r="Q24" s="16" t="s">
        <v>493</v>
      </c>
    </row>
    <row r="25" customFormat="false" ht="23.25" hidden="false" customHeight="true" outlineLevel="0" collapsed="false">
      <c r="A25" s="13" t="str">
        <f aca="false">STRIDE!A25</f>
        <v>T-21</v>
      </c>
      <c r="B25" s="5" t="str">
        <f aca="false">STRIDE!B25</f>
        <v>Exposición directa de la base de datos o de la API a la red</v>
      </c>
      <c r="C25" s="10" t="s">
        <v>483</v>
      </c>
      <c r="D25" s="10" t="s">
        <v>458</v>
      </c>
      <c r="E25" s="12" t="n">
        <f aca="false">MIN(5,MAX(1,ROUND(AVERAGE(DREAD!D25,DREAD!E25,DREAD!G25)/Escalas!$B$16,0)))</f>
        <v>4</v>
      </c>
      <c r="F25" s="12" t="n">
        <f aca="false">MIN(5,MAX(1,ROUND(AVERAGE(DREAD!C25,DREAD!F25)/Escalas!$B$16,0)))</f>
        <v>5</v>
      </c>
      <c r="G25" s="12" t="n">
        <f aca="false">E25*F25</f>
        <v>20</v>
      </c>
      <c r="H25" s="12" t="str">
        <f aca="false">IF(G25&gt;=Escalas!$B$13,"Crítico",IF(G25&gt;=Escalas!$B$14,"Alto",IF(G25&gt;=Escalas!$B$15,"Medio","Bajo")))</f>
        <v>Crítico</v>
      </c>
      <c r="I25" s="5" t="s">
        <v>509</v>
      </c>
      <c r="J25" s="5" t="s">
        <v>510</v>
      </c>
      <c r="K25" s="16" t="n">
        <v>1</v>
      </c>
      <c r="L25" s="16" t="n">
        <v>5</v>
      </c>
      <c r="M25" s="12" t="n">
        <f aca="false">IF(OR(K25="",L25=""),"",K25*L25)</f>
        <v>5</v>
      </c>
      <c r="N25" s="12" t="str">
        <f aca="false">IF(M25="","",IF(M25&gt;=Escalas!$B$13,"Crítico",IF(M25&gt;=Escalas!$B$14,"Alto",IF(M25&gt;=Escalas!$B$15,"Medio","Bajo"))))</f>
        <v>Medio</v>
      </c>
      <c r="O25" s="16" t="s">
        <v>511</v>
      </c>
      <c r="P25" s="8" t="s">
        <v>512</v>
      </c>
      <c r="Q25" s="16" t="s">
        <v>444</v>
      </c>
    </row>
    <row r="26" customFormat="false" ht="34.5" hidden="false" customHeight="true" outlineLevel="0" collapsed="false">
      <c r="A26" s="13" t="str">
        <f aca="false">STRIDE!A26</f>
        <v>T-22</v>
      </c>
      <c r="B26" s="5" t="str">
        <f aca="false">STRIDE!B26</f>
        <v>Escape de contenedor o ejecución como root</v>
      </c>
      <c r="C26" s="10" t="s">
        <v>483</v>
      </c>
      <c r="D26" s="10" t="s">
        <v>445</v>
      </c>
      <c r="E26" s="12" t="n">
        <f aca="false">MIN(5,MAX(1,ROUND(AVERAGE(DREAD!D26,DREAD!E26,DREAD!G26)/Escalas!$B$16,0)))</f>
        <v>2</v>
      </c>
      <c r="F26" s="12" t="n">
        <f aca="false">MIN(5,MAX(1,ROUND(AVERAGE(DREAD!C26,DREAD!F26)/Escalas!$B$16,0)))</f>
        <v>5</v>
      </c>
      <c r="G26" s="12" t="n">
        <f aca="false">E26*F26</f>
        <v>10</v>
      </c>
      <c r="H26" s="12" t="str">
        <f aca="false">IF(G26&gt;=Escalas!$B$13,"Crítico",IF(G26&gt;=Escalas!$B$14,"Alto",IF(G26&gt;=Escalas!$B$15,"Medio","Bajo")))</f>
        <v>Alto</v>
      </c>
      <c r="I26" s="5" t="s">
        <v>513</v>
      </c>
      <c r="J26" s="5" t="s">
        <v>514</v>
      </c>
      <c r="K26" s="16" t="n">
        <v>1</v>
      </c>
      <c r="L26" s="16" t="n">
        <v>4</v>
      </c>
      <c r="M26" s="12" t="n">
        <f aca="false">IF(OR(K26="",L26=""),"",K26*L26)</f>
        <v>4</v>
      </c>
      <c r="N26" s="12" t="str">
        <f aca="false">IF(M26="","",IF(M26&gt;=Escalas!$B$13,"Crítico",IF(M26&gt;=Escalas!$B$14,"Alto",IF(M26&gt;=Escalas!$B$15,"Medio","Bajo"))))</f>
        <v>Bajo</v>
      </c>
      <c r="O26" s="16" t="s">
        <v>442</v>
      </c>
      <c r="P26" s="8" t="s">
        <v>515</v>
      </c>
      <c r="Q26" s="16" t="s">
        <v>444</v>
      </c>
    </row>
    <row r="27" customFormat="false" ht="23.25" hidden="false" customHeight="true" outlineLevel="0" collapsed="false">
      <c r="A27" s="13" t="str">
        <f aca="false">STRIDE!A27</f>
        <v>T-23</v>
      </c>
      <c r="B27" s="5" t="str">
        <f aca="false">STRIDE!B27</f>
        <v>Interceptación del tráfico (hombre en el medio)</v>
      </c>
      <c r="C27" s="10" t="s">
        <v>483</v>
      </c>
      <c r="D27" s="10" t="s">
        <v>458</v>
      </c>
      <c r="E27" s="12" t="n">
        <f aca="false">MIN(5,MAX(1,ROUND(AVERAGE(DREAD!D27,DREAD!E27,DREAD!G27)/Escalas!$B$16,0)))</f>
        <v>3</v>
      </c>
      <c r="F27" s="12" t="n">
        <f aca="false">MIN(5,MAX(1,ROUND(AVERAGE(DREAD!C27,DREAD!F27)/Escalas!$B$16,0)))</f>
        <v>4</v>
      </c>
      <c r="G27" s="12" t="n">
        <f aca="false">E27*F27</f>
        <v>12</v>
      </c>
      <c r="H27" s="12" t="str">
        <f aca="false">IF(G27&gt;=Escalas!$B$13,"Crítico",IF(G27&gt;=Escalas!$B$14,"Alto",IF(G27&gt;=Escalas!$B$15,"Medio","Bajo")))</f>
        <v>Alto</v>
      </c>
      <c r="I27" s="5" t="s">
        <v>516</v>
      </c>
      <c r="J27" s="5" t="s">
        <v>517</v>
      </c>
      <c r="K27" s="16" t="n">
        <v>2</v>
      </c>
      <c r="L27" s="16" t="n">
        <v>3</v>
      </c>
      <c r="M27" s="12" t="n">
        <f aca="false">IF(OR(K27="",L27=""),"",K27*L27)</f>
        <v>6</v>
      </c>
      <c r="N27" s="12" t="str">
        <f aca="false">IF(M27="","",IF(M27&gt;=Escalas!$B$13,"Crítico",IF(M27&gt;=Escalas!$B$14,"Alto",IF(M27&gt;=Escalas!$B$15,"Medio","Bajo"))))</f>
        <v>Medio</v>
      </c>
      <c r="O27" s="16" t="s">
        <v>442</v>
      </c>
      <c r="P27" s="8" t="s">
        <v>518</v>
      </c>
      <c r="Q27" s="16" t="s">
        <v>444</v>
      </c>
    </row>
    <row r="28" customFormat="false" ht="34.5" hidden="false" customHeight="true" outlineLevel="0" collapsed="false">
      <c r="A28" s="13" t="str">
        <f aca="false">STRIDE!A28</f>
        <v>T-24</v>
      </c>
      <c r="B28" s="5" t="str">
        <f aca="false">STRIDE!B28</f>
        <v>Configuración insegura de la nube (recursos públicos, permisos amplios)</v>
      </c>
      <c r="C28" s="10" t="s">
        <v>222</v>
      </c>
      <c r="D28" s="10" t="s">
        <v>479</v>
      </c>
      <c r="E28" s="12" t="n">
        <f aca="false">MIN(5,MAX(1,ROUND(AVERAGE(DREAD!D28,DREAD!E28,DREAD!G28)/Escalas!$B$16,0)))</f>
        <v>3</v>
      </c>
      <c r="F28" s="12" t="n">
        <f aca="false">MIN(5,MAX(1,ROUND(AVERAGE(DREAD!C28,DREAD!F28)/Escalas!$B$16,0)))</f>
        <v>4</v>
      </c>
      <c r="G28" s="12" t="n">
        <f aca="false">E28*F28</f>
        <v>12</v>
      </c>
      <c r="H28" s="12" t="str">
        <f aca="false">IF(G28&gt;=Escalas!$B$13,"Crítico",IF(G28&gt;=Escalas!$B$14,"Alto",IF(G28&gt;=Escalas!$B$15,"Medio","Bajo")))</f>
        <v>Alto</v>
      </c>
      <c r="I28" s="5" t="s">
        <v>519</v>
      </c>
      <c r="J28" s="5" t="s">
        <v>520</v>
      </c>
      <c r="K28" s="16" t="n">
        <v>2</v>
      </c>
      <c r="L28" s="16" t="n">
        <v>4</v>
      </c>
      <c r="M28" s="12" t="n">
        <f aca="false">IF(OR(K28="",L28=""),"",K28*L28)</f>
        <v>8</v>
      </c>
      <c r="N28" s="12" t="str">
        <f aca="false">IF(M28="","",IF(M28&gt;=Escalas!$B$13,"Crítico",IF(M28&gt;=Escalas!$B$14,"Alto",IF(M28&gt;=Escalas!$B$15,"Medio","Bajo"))))</f>
        <v>Medio</v>
      </c>
      <c r="O28" s="16" t="s">
        <v>442</v>
      </c>
      <c r="P28" s="8" t="s">
        <v>521</v>
      </c>
      <c r="Q28" s="16" t="s">
        <v>522</v>
      </c>
    </row>
    <row r="29" customFormat="false" ht="34.5" hidden="false" customHeight="true" outlineLevel="0" collapsed="false">
      <c r="A29" s="13" t="str">
        <f aca="false">STRIDE!A29</f>
        <v>T-25</v>
      </c>
      <c r="B29" s="5" t="str">
        <f aca="false">STRIDE!B29</f>
        <v>Pérdida de datos por falla o corrupción de la base (sin respaldo automático)</v>
      </c>
      <c r="C29" s="10" t="s">
        <v>483</v>
      </c>
      <c r="D29" s="10" t="s">
        <v>445</v>
      </c>
      <c r="E29" s="12" t="n">
        <f aca="false">MIN(5,MAX(1,ROUND(AVERAGE(DREAD!D29,DREAD!E29,DREAD!G29)/Escalas!$B$16,0)))</f>
        <v>2</v>
      </c>
      <c r="F29" s="12" t="n">
        <f aca="false">MIN(5,MAX(1,ROUND(AVERAGE(DREAD!C29,DREAD!F29)/Escalas!$B$16,0)))</f>
        <v>5</v>
      </c>
      <c r="G29" s="12" t="n">
        <f aca="false">E29*F29</f>
        <v>10</v>
      </c>
      <c r="H29" s="12" t="str">
        <f aca="false">IF(G29&gt;=Escalas!$B$13,"Crítico",IF(G29&gt;=Escalas!$B$14,"Alto",IF(G29&gt;=Escalas!$B$15,"Medio","Bajo")))</f>
        <v>Alto</v>
      </c>
      <c r="I29" s="5" t="s">
        <v>523</v>
      </c>
      <c r="J29" s="5" t="s">
        <v>524</v>
      </c>
      <c r="K29" s="16" t="n">
        <v>1</v>
      </c>
      <c r="L29" s="16" t="n">
        <v>5</v>
      </c>
      <c r="M29" s="12" t="n">
        <f aca="false">IF(OR(K29="",L29=""),"",K29*L29)</f>
        <v>5</v>
      </c>
      <c r="N29" s="12" t="str">
        <f aca="false">IF(M29="","",IF(M29&gt;=Escalas!$B$13,"Crítico",IF(M29&gt;=Escalas!$B$14,"Alto",IF(M29&gt;=Escalas!$B$15,"Medio","Bajo"))))</f>
        <v>Medio</v>
      </c>
      <c r="O29" s="16" t="s">
        <v>442</v>
      </c>
      <c r="P29" s="8" t="s">
        <v>525</v>
      </c>
      <c r="Q29" s="16" t="s">
        <v>444</v>
      </c>
    </row>
    <row r="30" customFormat="false" ht="23.25" hidden="false" customHeight="true" outlineLevel="0" collapsed="false">
      <c r="A30" s="13" t="str">
        <f aca="false">STRIDE!A30</f>
        <v>T-26</v>
      </c>
      <c r="B30" s="5" t="str">
        <f aca="false">STRIDE!B30</f>
        <v>Pérdida o robo del dispositivo con el segundo factor del administrador</v>
      </c>
      <c r="C30" s="10" t="s">
        <v>526</v>
      </c>
      <c r="D30" s="10" t="s">
        <v>445</v>
      </c>
      <c r="E30" s="12" t="n">
        <f aca="false">MIN(5,MAX(1,ROUND(AVERAGE(DREAD!D30,DREAD!E30,DREAD!G30)/Escalas!$B$16,0)))</f>
        <v>2</v>
      </c>
      <c r="F30" s="12" t="n">
        <f aca="false">MIN(5,MAX(1,ROUND(AVERAGE(DREAD!C30,DREAD!F30)/Escalas!$B$16,0)))</f>
        <v>2</v>
      </c>
      <c r="G30" s="12" t="n">
        <f aca="false">E30*F30</f>
        <v>4</v>
      </c>
      <c r="H30" s="12" t="str">
        <f aca="false">IF(G30&gt;=Escalas!$B$13,"Crítico",IF(G30&gt;=Escalas!$B$14,"Alto",IF(G30&gt;=Escalas!$B$15,"Medio","Bajo")))</f>
        <v>Bajo</v>
      </c>
      <c r="I30" s="5" t="s">
        <v>527</v>
      </c>
      <c r="J30" s="5" t="s">
        <v>498</v>
      </c>
      <c r="K30" s="16" t="n">
        <v>2</v>
      </c>
      <c r="L30" s="16" t="n">
        <v>2</v>
      </c>
      <c r="M30" s="12" t="n">
        <f aca="false">IF(OR(K30="",L30=""),"",K30*L30)</f>
        <v>4</v>
      </c>
      <c r="N30" s="12" t="str">
        <f aca="false">IF(M30="","",IF(M30&gt;=Escalas!$B$13,"Crítico",IF(M30&gt;=Escalas!$B$14,"Alto",IF(M30&gt;=Escalas!$B$15,"Medio","Bajo"))))</f>
        <v>Bajo</v>
      </c>
      <c r="O30" s="16" t="s">
        <v>476</v>
      </c>
      <c r="P30" s="8" t="s">
        <v>528</v>
      </c>
      <c r="Q30" s="16" t="s">
        <v>478</v>
      </c>
    </row>
    <row r="31" customFormat="false" ht="23.25" hidden="false" customHeight="true" outlineLevel="0" collapsed="false">
      <c r="A31" s="13" t="str">
        <f aca="false">STRIDE!A31</f>
        <v>T-27</v>
      </c>
      <c r="B31" s="5" t="str">
        <f aca="false">STRIDE!B31</f>
        <v>Phishing con proxy en tiempo real que captura el código TOTP</v>
      </c>
      <c r="C31" s="10" t="s">
        <v>526</v>
      </c>
      <c r="D31" s="10" t="s">
        <v>439</v>
      </c>
      <c r="E31" s="12" t="n">
        <f aca="false">MIN(5,MAX(1,ROUND(AVERAGE(DREAD!D31,DREAD!E31,DREAD!G31)/Escalas!$B$16,0)))</f>
        <v>3</v>
      </c>
      <c r="F31" s="12" t="n">
        <f aca="false">MIN(5,MAX(1,ROUND(AVERAGE(DREAD!C31,DREAD!F31)/Escalas!$B$16,0)))</f>
        <v>3</v>
      </c>
      <c r="G31" s="12" t="n">
        <f aca="false">E31*F31</f>
        <v>9</v>
      </c>
      <c r="H31" s="12" t="str">
        <f aca="false">IF(G31&gt;=Escalas!$B$13,"Crítico",IF(G31&gt;=Escalas!$B$14,"Alto",IF(G31&gt;=Escalas!$B$15,"Medio","Bajo")))</f>
        <v>Medio</v>
      </c>
      <c r="I31" s="5" t="s">
        <v>529</v>
      </c>
      <c r="J31" s="5" t="s">
        <v>530</v>
      </c>
      <c r="K31" s="16" t="n">
        <v>2</v>
      </c>
      <c r="L31" s="16" t="n">
        <v>3</v>
      </c>
      <c r="M31" s="12" t="n">
        <f aca="false">IF(OR(K31="",L31=""),"",K31*L31)</f>
        <v>6</v>
      </c>
      <c r="N31" s="12" t="str">
        <f aca="false">IF(M31="","",IF(M31&gt;=Escalas!$B$13,"Crítico",IF(M31&gt;=Escalas!$B$14,"Alto",IF(M31&gt;=Escalas!$B$15,"Medio","Bajo"))))</f>
        <v>Medio</v>
      </c>
      <c r="O31" s="16" t="s">
        <v>476</v>
      </c>
      <c r="P31" s="8" t="s">
        <v>531</v>
      </c>
      <c r="Q31" s="16" t="s">
        <v>478</v>
      </c>
    </row>
    <row r="32" customFormat="false" ht="23.25" hidden="false" customHeight="true" outlineLevel="0" collapsed="false">
      <c r="A32" s="13" t="str">
        <f aca="false">STRIDE!A32</f>
        <v>T-28</v>
      </c>
      <c r="B32" s="5" t="str">
        <f aca="false">STRIDE!B32</f>
        <v>Ataques desde el navegador: CSRF y clickjacking</v>
      </c>
      <c r="C32" s="10" t="s">
        <v>161</v>
      </c>
      <c r="D32" s="10" t="s">
        <v>439</v>
      </c>
      <c r="E32" s="12" t="n">
        <f aca="false">MIN(5,MAX(1,ROUND(AVERAGE(DREAD!D32,DREAD!E32,DREAD!G32)/Escalas!$B$16,0)))</f>
        <v>3</v>
      </c>
      <c r="F32" s="12" t="n">
        <f aca="false">MIN(5,MAX(1,ROUND(AVERAGE(DREAD!C32,DREAD!F32)/Escalas!$B$16,0)))</f>
        <v>3</v>
      </c>
      <c r="G32" s="12" t="n">
        <f aca="false">E32*F32</f>
        <v>9</v>
      </c>
      <c r="H32" s="12" t="str">
        <f aca="false">IF(G32&gt;=Escalas!$B$13,"Crítico",IF(G32&gt;=Escalas!$B$14,"Alto",IF(G32&gt;=Escalas!$B$15,"Medio","Bajo")))</f>
        <v>Medio</v>
      </c>
      <c r="I32" s="5" t="s">
        <v>532</v>
      </c>
      <c r="J32" s="5" t="s">
        <v>533</v>
      </c>
      <c r="K32" s="16" t="n">
        <v>1</v>
      </c>
      <c r="L32" s="16" t="n">
        <v>3</v>
      </c>
      <c r="M32" s="12" t="n">
        <f aca="false">IF(OR(K32="",L32=""),"",K32*L32)</f>
        <v>3</v>
      </c>
      <c r="N32" s="12" t="str">
        <f aca="false">IF(M32="","",IF(M32&gt;=Escalas!$B$13,"Crítico",IF(M32&gt;=Escalas!$B$14,"Alto",IF(M32&gt;=Escalas!$B$15,"Medio","Bajo"))))</f>
        <v>Bajo</v>
      </c>
      <c r="O32" s="16" t="s">
        <v>442</v>
      </c>
      <c r="P32" s="8" t="s">
        <v>534</v>
      </c>
      <c r="Q32" s="16" t="s">
        <v>444</v>
      </c>
    </row>
    <row r="33" customFormat="false" ht="23.25" hidden="false" customHeight="true" outlineLevel="0" collapsed="false">
      <c r="A33" s="13" t="str">
        <f aca="false">STRIDE!A33</f>
        <v>T-29</v>
      </c>
      <c r="B33" s="5" t="str">
        <f aca="false">STRIDE!B33</f>
        <v>Fuga de la IP o datos del lector por imágenes externas en un post</v>
      </c>
      <c r="C33" s="10" t="s">
        <v>161</v>
      </c>
      <c r="D33" s="10" t="s">
        <v>458</v>
      </c>
      <c r="E33" s="12" t="n">
        <f aca="false">MIN(5,MAX(1,ROUND(AVERAGE(DREAD!D33,DREAD!E33,DREAD!G33)/Escalas!$B$16,0)))</f>
        <v>4</v>
      </c>
      <c r="F33" s="12" t="n">
        <f aca="false">MIN(5,MAX(1,ROUND(AVERAGE(DREAD!C33,DREAD!F33)/Escalas!$B$16,0)))</f>
        <v>2</v>
      </c>
      <c r="G33" s="12" t="n">
        <f aca="false">E33*F33</f>
        <v>8</v>
      </c>
      <c r="H33" s="12" t="str">
        <f aca="false">IF(G33&gt;=Escalas!$B$13,"Crítico",IF(G33&gt;=Escalas!$B$14,"Alto",IF(G33&gt;=Escalas!$B$15,"Medio","Bajo")))</f>
        <v>Medio</v>
      </c>
      <c r="I33" s="5" t="s">
        <v>535</v>
      </c>
      <c r="J33" s="5" t="s">
        <v>536</v>
      </c>
      <c r="K33" s="16" t="n">
        <v>1</v>
      </c>
      <c r="L33" s="16" t="n">
        <v>2</v>
      </c>
      <c r="M33" s="12" t="n">
        <f aca="false">IF(OR(K33="",L33=""),"",K33*L33)</f>
        <v>2</v>
      </c>
      <c r="N33" s="12" t="str">
        <f aca="false">IF(M33="","",IF(M33&gt;=Escalas!$B$13,"Crítico",IF(M33&gt;=Escalas!$B$14,"Alto",IF(M33&gt;=Escalas!$B$15,"Medio","Bajo"))))</f>
        <v>Bajo</v>
      </c>
      <c r="O33" s="16" t="s">
        <v>537</v>
      </c>
      <c r="P33" s="8" t="s">
        <v>538</v>
      </c>
      <c r="Q33" s="16" t="s">
        <v>444</v>
      </c>
    </row>
  </sheetData>
  <autoFilter ref="A4:Q33"/>
  <dataValidations count="5">
    <dataValidation allowBlank="true" error="Ingresá un número entero de 1 a 5" errorStyle="stop" operator="between" showDropDown="false" showErrorMessage="false" showInputMessage="false" sqref="K5:L33" type="whole">
      <formula1>1</formula1>
      <formula2>5</formula2>
    </dataValidation>
    <dataValidation allowBlank="true" errorStyle="stop" operator="between" showDropDown="false" showErrorMessage="false" showInputMessage="false" sqref="O5:O33" type="list">
      <formula1>"Aceptar,Eliminar,Evitar,Mitigar,Transferir"</formula1>
      <formula2>0</formula2>
    </dataValidation>
    <dataValidation allowBlank="false" errorStyle="stop" operator="between" showDropDown="false" showErrorMessage="false" showInputMessage="false" sqref="C5:C33" type="list">
      <formula1>"Software,Seguridad,Técnico,Cloud,Humano"</formula1>
      <formula2>0</formula2>
    </dataValidation>
    <dataValidation allowBlank="false" errorStyle="stop" operator="between" showDropDown="false" showErrorMessage="false" showInputMessage="false" sqref="D5:D33" type="list">
      <formula1>"Reputacional,Operacional,Financiero,Legal"</formula1>
      <formula2>0</formula2>
    </dataValidation>
    <dataValidation allowBlank="true" errorStyle="stop" operator="between" showDropDown="false" showErrorMessage="false" showInputMessage="false" sqref="Q5:Q33" type="list">
      <formula1>"Implementado,Planificado,Aceptado,Diseñado"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7" min="6" style="1" width="8"/>
    <col collapsed="false" customWidth="true" hidden="false" outlineLevel="0" max="9" min="8" style="1" width="10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13"/>
    <col collapsed="false" customWidth="true" hidden="false" outlineLevel="0" max="13" min="13" style="1" width="56"/>
    <col collapsed="false" customWidth="true" hidden="false" outlineLevel="0" max="15" min="14" style="1" width="14"/>
    <col collapsed="false" customWidth="true" hidden="false" outlineLevel="0" max="16" min="16" style="1" width="44"/>
  </cols>
  <sheetData>
    <row r="1" customFormat="false" ht="17.25" hidden="false" customHeight="true" outlineLevel="0" collapsed="false">
      <c r="A1" s="2" t="s">
        <v>539</v>
      </c>
    </row>
    <row r="2" customFormat="false" ht="15" hidden="false" customHeight="true" outlineLevel="0" collapsed="false">
      <c r="A2" s="3" t="s">
        <v>540</v>
      </c>
    </row>
    <row r="4" customFormat="false" ht="31.5" hidden="false" customHeight="true" outlineLevel="0" collapsed="false">
      <c r="A4" s="9" t="s">
        <v>88</v>
      </c>
      <c r="B4" s="9" t="s">
        <v>541</v>
      </c>
      <c r="C4" s="9" t="s">
        <v>542</v>
      </c>
      <c r="D4" s="9" t="s">
        <v>263</v>
      </c>
      <c r="E4" s="9" t="s">
        <v>543</v>
      </c>
      <c r="F4" s="9" t="s">
        <v>544</v>
      </c>
      <c r="G4" s="9" t="s">
        <v>545</v>
      </c>
      <c r="H4" s="9" t="s">
        <v>546</v>
      </c>
      <c r="I4" s="9" t="s">
        <v>547</v>
      </c>
      <c r="J4" s="9" t="s">
        <v>548</v>
      </c>
      <c r="K4" s="9" t="s">
        <v>385</v>
      </c>
      <c r="L4" s="9" t="s">
        <v>435</v>
      </c>
      <c r="M4" s="9" t="s">
        <v>549</v>
      </c>
      <c r="N4" s="9" t="s">
        <v>550</v>
      </c>
      <c r="O4" s="9" t="s">
        <v>551</v>
      </c>
      <c r="P4" s="9" t="s">
        <v>430</v>
      </c>
    </row>
    <row r="5" customFormat="false" ht="23.25" hidden="false" customHeight="true" outlineLevel="0" collapsed="false">
      <c r="A5" s="13" t="s">
        <v>552</v>
      </c>
      <c r="B5" s="5" t="s">
        <v>553</v>
      </c>
      <c r="C5" s="5" t="s">
        <v>554</v>
      </c>
      <c r="D5" s="12" t="s">
        <v>356</v>
      </c>
      <c r="E5" s="10" t="n">
        <v>2</v>
      </c>
      <c r="F5" s="10" t="n">
        <v>5</v>
      </c>
      <c r="G5" s="10" t="n">
        <v>2</v>
      </c>
      <c r="H5" s="10" t="n">
        <v>5</v>
      </c>
      <c r="I5" s="10" t="n">
        <v>5</v>
      </c>
      <c r="J5" s="15" t="n">
        <f aca="false">IF(COUNT(E5:I5)=0,"",AVERAGE(E5:I5))</f>
        <v>3.8</v>
      </c>
      <c r="K5" s="12" t="str">
        <f aca="false">IF(J5="","",IF(J5&gt;=Escalas!$B$11,"Alto",IF(J5&gt;=Escalas!$B$12,"Medio","Bajo")))</f>
        <v>Bajo</v>
      </c>
      <c r="L5" s="10" t="s">
        <v>442</v>
      </c>
      <c r="M5" s="5" t="s">
        <v>555</v>
      </c>
      <c r="N5" s="10" t="s">
        <v>556</v>
      </c>
      <c r="O5" s="10" t="s">
        <v>557</v>
      </c>
      <c r="P5" s="5" t="s">
        <v>558</v>
      </c>
    </row>
    <row r="6" customFormat="false" ht="23.25" hidden="false" customHeight="true" outlineLevel="0" collapsed="false">
      <c r="A6" s="13" t="s">
        <v>559</v>
      </c>
      <c r="B6" s="5" t="s">
        <v>560</v>
      </c>
      <c r="C6" s="5" t="s">
        <v>561</v>
      </c>
      <c r="D6" s="12" t="s">
        <v>375</v>
      </c>
      <c r="E6" s="10" t="n">
        <v>2</v>
      </c>
      <c r="F6" s="10" t="n">
        <v>6</v>
      </c>
      <c r="G6" s="10" t="n">
        <v>2</v>
      </c>
      <c r="H6" s="10" t="n">
        <v>3</v>
      </c>
      <c r="I6" s="10" t="n">
        <v>6</v>
      </c>
      <c r="J6" s="15" t="n">
        <f aca="false">IF(COUNT(E6:I6)=0,"",AVERAGE(E6:I6))</f>
        <v>3.8</v>
      </c>
      <c r="K6" s="12" t="str">
        <f aca="false">IF(J6="","",IF(J6&gt;=Escalas!$B$11,"Alto",IF(J6&gt;=Escalas!$B$12,"Medio","Bajo")))</f>
        <v>Bajo</v>
      </c>
      <c r="L6" s="10" t="s">
        <v>442</v>
      </c>
      <c r="M6" s="5" t="s">
        <v>562</v>
      </c>
      <c r="N6" s="10" t="s">
        <v>556</v>
      </c>
      <c r="O6" s="10" t="s">
        <v>557</v>
      </c>
      <c r="P6" s="5" t="s">
        <v>558</v>
      </c>
    </row>
    <row r="7" customFormat="false" ht="23.25" hidden="false" customHeight="true" outlineLevel="0" collapsed="false">
      <c r="A7" s="13" t="s">
        <v>563</v>
      </c>
      <c r="B7" s="5" t="s">
        <v>564</v>
      </c>
      <c r="C7" s="5" t="s">
        <v>565</v>
      </c>
      <c r="D7" s="12"/>
      <c r="E7" s="10"/>
      <c r="F7" s="10"/>
      <c r="G7" s="10"/>
      <c r="H7" s="10"/>
      <c r="I7" s="10"/>
      <c r="J7" s="15" t="str">
        <f aca="false">IF(COUNT(E7:I7)=0,"",AVERAGE(E7:I7))</f>
        <v/>
      </c>
      <c r="K7" s="12" t="str">
        <f aca="false">IF(J7="","",IF(J7&gt;=Escalas!$B$11,"Alto",IF(J7&gt;=Escalas!$B$12,"Medio","Bajo")))</f>
        <v/>
      </c>
      <c r="L7" s="10" t="s">
        <v>476</v>
      </c>
      <c r="M7" s="5" t="s">
        <v>566</v>
      </c>
      <c r="N7" s="10" t="s">
        <v>567</v>
      </c>
      <c r="O7" s="10" t="s">
        <v>567</v>
      </c>
      <c r="P7" s="5" t="s">
        <v>568</v>
      </c>
    </row>
    <row r="8" customFormat="false" ht="23.25" hidden="false" customHeight="true" outlineLevel="0" collapsed="false">
      <c r="A8" s="13" t="s">
        <v>569</v>
      </c>
      <c r="B8" s="5" t="s">
        <v>570</v>
      </c>
      <c r="C8" s="5" t="s">
        <v>571</v>
      </c>
      <c r="D8" s="12" t="s">
        <v>272</v>
      </c>
      <c r="E8" s="10" t="n">
        <v>6</v>
      </c>
      <c r="F8" s="10" t="n">
        <v>9</v>
      </c>
      <c r="G8" s="10" t="n">
        <v>6</v>
      </c>
      <c r="H8" s="10" t="n">
        <v>4</v>
      </c>
      <c r="I8" s="10" t="n">
        <v>7</v>
      </c>
      <c r="J8" s="15" t="n">
        <f aca="false">IF(COUNT(E8:I8)=0,"",AVERAGE(E8:I8))</f>
        <v>6.4</v>
      </c>
      <c r="K8" s="12" t="str">
        <f aca="false">IF(J8="","",IF(J8&gt;=Escalas!$B$11,"Alto",IF(J8&gt;=Escalas!$B$12,"Medio","Bajo")))</f>
        <v>Medio</v>
      </c>
      <c r="L8" s="10" t="s">
        <v>442</v>
      </c>
      <c r="M8" s="5" t="s">
        <v>572</v>
      </c>
      <c r="N8" s="10" t="s">
        <v>556</v>
      </c>
      <c r="O8" s="10" t="s">
        <v>557</v>
      </c>
      <c r="P8" s="5" t="s">
        <v>573</v>
      </c>
    </row>
    <row r="9" customFormat="false" ht="23.25" hidden="false" customHeight="true" outlineLevel="0" collapsed="false">
      <c r="A9" s="13" t="s">
        <v>574</v>
      </c>
      <c r="B9" s="5" t="s">
        <v>575</v>
      </c>
      <c r="C9" s="5" t="s">
        <v>576</v>
      </c>
      <c r="D9" s="12" t="s">
        <v>284</v>
      </c>
      <c r="E9" s="10" t="n">
        <v>6</v>
      </c>
      <c r="F9" s="10" t="n">
        <v>7</v>
      </c>
      <c r="G9" s="10" t="n">
        <v>4</v>
      </c>
      <c r="H9" s="10" t="n">
        <v>3</v>
      </c>
      <c r="I9" s="10" t="n">
        <v>5</v>
      </c>
      <c r="J9" s="15" t="n">
        <f aca="false">IF(COUNT(E9:I9)=0,"",AVERAGE(E9:I9))</f>
        <v>5</v>
      </c>
      <c r="K9" s="12" t="str">
        <f aca="false">IF(J9="","",IF(J9&gt;=Escalas!$B$11,"Alto",IF(J9&gt;=Escalas!$B$12,"Medio","Bajo")))</f>
        <v>Medio</v>
      </c>
      <c r="L9" s="10" t="s">
        <v>442</v>
      </c>
      <c r="M9" s="5" t="s">
        <v>577</v>
      </c>
      <c r="N9" s="10" t="s">
        <v>556</v>
      </c>
      <c r="O9" s="10" t="s">
        <v>557</v>
      </c>
      <c r="P9" s="5" t="s">
        <v>578</v>
      </c>
    </row>
    <row r="10" customFormat="false" ht="15" hidden="false" customHeight="true" outlineLevel="0" collapsed="false">
      <c r="A10" s="13" t="s">
        <v>579</v>
      </c>
      <c r="B10" s="5" t="s">
        <v>580</v>
      </c>
      <c r="C10" s="5" t="s">
        <v>581</v>
      </c>
      <c r="D10" s="12" t="s">
        <v>329</v>
      </c>
      <c r="E10" s="10" t="n">
        <v>5</v>
      </c>
      <c r="F10" s="10" t="n">
        <v>8</v>
      </c>
      <c r="G10" s="10" t="n">
        <v>6</v>
      </c>
      <c r="H10" s="10" t="n">
        <v>8</v>
      </c>
      <c r="I10" s="10" t="n">
        <v>7</v>
      </c>
      <c r="J10" s="15" t="n">
        <f aca="false">IF(COUNT(E10:I10)=0,"",AVERAGE(E10:I10))</f>
        <v>6.8</v>
      </c>
      <c r="K10" s="12" t="str">
        <f aca="false">IF(J10="","",IF(J10&gt;=Escalas!$B$11,"Alto",IF(J10&gt;=Escalas!$B$12,"Medio","Bajo")))</f>
        <v>Medio</v>
      </c>
      <c r="L10" s="10" t="s">
        <v>442</v>
      </c>
      <c r="M10" s="5" t="s">
        <v>582</v>
      </c>
      <c r="N10" s="10" t="s">
        <v>556</v>
      </c>
      <c r="O10" s="10" t="s">
        <v>557</v>
      </c>
      <c r="P10" s="5" t="s">
        <v>583</v>
      </c>
    </row>
    <row r="11" customFormat="false" ht="23.25" hidden="false" customHeight="true" outlineLevel="0" collapsed="false">
      <c r="A11" s="13" t="s">
        <v>584</v>
      </c>
      <c r="B11" s="5" t="s">
        <v>585</v>
      </c>
      <c r="C11" s="5" t="s">
        <v>586</v>
      </c>
      <c r="D11" s="12" t="s">
        <v>375</v>
      </c>
      <c r="E11" s="10" t="n">
        <v>2</v>
      </c>
      <c r="F11" s="10" t="n">
        <v>5</v>
      </c>
      <c r="G11" s="10" t="n">
        <v>2</v>
      </c>
      <c r="H11" s="10" t="n">
        <v>3</v>
      </c>
      <c r="I11" s="10" t="n">
        <v>6</v>
      </c>
      <c r="J11" s="15" t="n">
        <f aca="false">IF(COUNT(E11:I11)=0,"",AVERAGE(E11:I11))</f>
        <v>3.6</v>
      </c>
      <c r="K11" s="12" t="str">
        <f aca="false">IF(J11="","",IF(J11&gt;=Escalas!$B$11,"Alto",IF(J11&gt;=Escalas!$B$12,"Medio","Bajo")))</f>
        <v>Bajo</v>
      </c>
      <c r="L11" s="10" t="s">
        <v>442</v>
      </c>
      <c r="M11" s="5" t="s">
        <v>587</v>
      </c>
      <c r="N11" s="10" t="s">
        <v>556</v>
      </c>
      <c r="O11" s="10" t="s">
        <v>557</v>
      </c>
      <c r="P11" s="5" t="s">
        <v>588</v>
      </c>
    </row>
    <row r="12" customFormat="false" ht="23.25" hidden="false" customHeight="true" outlineLevel="0" collapsed="false">
      <c r="A12" s="13" t="s">
        <v>589</v>
      </c>
      <c r="B12" s="5" t="s">
        <v>590</v>
      </c>
      <c r="C12" s="5" t="s">
        <v>586</v>
      </c>
      <c r="D12" s="12"/>
      <c r="E12" s="10" t="n">
        <v>1</v>
      </c>
      <c r="F12" s="10" t="n">
        <v>5</v>
      </c>
      <c r="G12" s="10" t="n">
        <v>2</v>
      </c>
      <c r="H12" s="10" t="n">
        <v>2</v>
      </c>
      <c r="I12" s="10" t="n">
        <v>6</v>
      </c>
      <c r="J12" s="15" t="n">
        <f aca="false">IF(COUNT(E12:I12)=0,"",AVERAGE(E12:I12))</f>
        <v>3.2</v>
      </c>
      <c r="K12" s="12" t="str">
        <f aca="false">IF(J12="","",IF(J12&gt;=Escalas!$B$11,"Alto",IF(J12&gt;=Escalas!$B$12,"Medio","Bajo")))</f>
        <v>Bajo</v>
      </c>
      <c r="L12" s="10" t="s">
        <v>476</v>
      </c>
      <c r="M12" s="5" t="s">
        <v>591</v>
      </c>
      <c r="N12" s="10" t="s">
        <v>567</v>
      </c>
      <c r="O12" s="10" t="s">
        <v>478</v>
      </c>
      <c r="P12" s="5" t="s">
        <v>592</v>
      </c>
    </row>
    <row r="13" customFormat="false" ht="23.25" hidden="false" customHeight="true" outlineLevel="0" collapsed="false">
      <c r="A13" s="13" t="s">
        <v>593</v>
      </c>
      <c r="B13" s="5" t="s">
        <v>594</v>
      </c>
      <c r="C13" s="5" t="s">
        <v>595</v>
      </c>
      <c r="D13" s="12" t="s">
        <v>337</v>
      </c>
      <c r="E13" s="10" t="n">
        <v>5</v>
      </c>
      <c r="F13" s="10" t="n">
        <v>7</v>
      </c>
      <c r="G13" s="10" t="n">
        <v>5</v>
      </c>
      <c r="H13" s="10" t="n">
        <v>9</v>
      </c>
      <c r="I13" s="10" t="n">
        <v>7</v>
      </c>
      <c r="J13" s="15" t="n">
        <f aca="false">IF(COUNT(E13:I13)=0,"",AVERAGE(E13:I13))</f>
        <v>6.6</v>
      </c>
      <c r="K13" s="12" t="str">
        <f aca="false">IF(J13="","",IF(J13&gt;=Escalas!$B$11,"Alto",IF(J13&gt;=Escalas!$B$12,"Medio","Bajo")))</f>
        <v>Medio</v>
      </c>
      <c r="L13" s="10" t="s">
        <v>442</v>
      </c>
      <c r="M13" s="5" t="s">
        <v>596</v>
      </c>
      <c r="N13" s="10" t="s">
        <v>556</v>
      </c>
      <c r="O13" s="10" t="s">
        <v>557</v>
      </c>
      <c r="P13" s="5" t="s">
        <v>597</v>
      </c>
    </row>
    <row r="14" customFormat="false" ht="23.25" hidden="false" customHeight="true" outlineLevel="0" collapsed="false">
      <c r="A14" s="13" t="s">
        <v>598</v>
      </c>
      <c r="B14" s="5" t="s">
        <v>599</v>
      </c>
      <c r="C14" s="5" t="s">
        <v>600</v>
      </c>
      <c r="D14" s="12" t="s">
        <v>314</v>
      </c>
      <c r="E14" s="10"/>
      <c r="F14" s="10"/>
      <c r="G14" s="10"/>
      <c r="H14" s="10"/>
      <c r="I14" s="10"/>
      <c r="J14" s="15" t="str">
        <f aca="false">IF(COUNT(E14:I14)=0,"",AVERAGE(E14:I14))</f>
        <v/>
      </c>
      <c r="K14" s="12" t="str">
        <f aca="false">IF(J14="","",IF(J14&gt;=Escalas!$B$11,"Alto",IF(J14&gt;=Escalas!$B$12,"Medio","Bajo")))</f>
        <v/>
      </c>
      <c r="L14" s="10" t="s">
        <v>476</v>
      </c>
      <c r="M14" s="5" t="s">
        <v>601</v>
      </c>
      <c r="N14" s="10" t="s">
        <v>556</v>
      </c>
      <c r="O14" s="10" t="s">
        <v>557</v>
      </c>
      <c r="P14" s="5" t="s">
        <v>602</v>
      </c>
    </row>
    <row r="15" customFormat="false" ht="23.25" hidden="false" customHeight="true" outlineLevel="0" collapsed="false">
      <c r="A15" s="13" t="s">
        <v>603</v>
      </c>
      <c r="B15" s="5" t="s">
        <v>604</v>
      </c>
      <c r="C15" s="5" t="s">
        <v>605</v>
      </c>
      <c r="D15" s="12" t="s">
        <v>318</v>
      </c>
      <c r="E15" s="10" t="n">
        <v>6</v>
      </c>
      <c r="F15" s="10" t="n">
        <v>3</v>
      </c>
      <c r="G15" s="10" t="n">
        <v>2</v>
      </c>
      <c r="H15" s="10" t="n">
        <v>3</v>
      </c>
      <c r="I15" s="10" t="n">
        <v>3</v>
      </c>
      <c r="J15" s="15" t="n">
        <f aca="false">IF(COUNT(E15:I15)=0,"",AVERAGE(E15:I15))</f>
        <v>3.4</v>
      </c>
      <c r="K15" s="12" t="str">
        <f aca="false">IF(J15="","",IF(J15&gt;=Escalas!$B$11,"Alto",IF(J15&gt;=Escalas!$B$12,"Medio","Bajo")))</f>
        <v>Bajo</v>
      </c>
      <c r="L15" s="10" t="s">
        <v>442</v>
      </c>
      <c r="M15" s="5" t="s">
        <v>606</v>
      </c>
      <c r="N15" s="10" t="s">
        <v>557</v>
      </c>
      <c r="O15" s="10" t="s">
        <v>557</v>
      </c>
      <c r="P15" s="5" t="s">
        <v>607</v>
      </c>
    </row>
    <row r="16" customFormat="false" ht="15" hidden="false" customHeight="true" outlineLevel="0" collapsed="false">
      <c r="A16" s="13" t="s">
        <v>608</v>
      </c>
      <c r="B16" s="5" t="s">
        <v>609</v>
      </c>
      <c r="C16" s="5" t="s">
        <v>610</v>
      </c>
      <c r="D16" s="12" t="s">
        <v>340</v>
      </c>
      <c r="E16" s="10" t="n">
        <v>5</v>
      </c>
      <c r="F16" s="10" t="n">
        <v>3</v>
      </c>
      <c r="G16" s="10" t="n">
        <v>2</v>
      </c>
      <c r="H16" s="10" t="n">
        <v>5</v>
      </c>
      <c r="I16" s="10" t="n">
        <v>7</v>
      </c>
      <c r="J16" s="15" t="n">
        <f aca="false">IF(COUNT(E16:I16)=0,"",AVERAGE(E16:I16))</f>
        <v>4.4</v>
      </c>
      <c r="K16" s="12" t="str">
        <f aca="false">IF(J16="","",IF(J16&gt;=Escalas!$B$11,"Alto",IF(J16&gt;=Escalas!$B$12,"Medio","Bajo")))</f>
        <v>Medio</v>
      </c>
      <c r="L16" s="10" t="s">
        <v>442</v>
      </c>
      <c r="M16" s="5" t="s">
        <v>611</v>
      </c>
      <c r="N16" s="10" t="s">
        <v>557</v>
      </c>
      <c r="O16" s="10" t="s">
        <v>557</v>
      </c>
      <c r="P16" s="5" t="s">
        <v>612</v>
      </c>
    </row>
    <row r="17" customFormat="false" ht="23.25" hidden="false" customHeight="true" outlineLevel="0" collapsed="false">
      <c r="A17" s="13" t="s">
        <v>613</v>
      </c>
      <c r="B17" s="5" t="s">
        <v>614</v>
      </c>
      <c r="C17" s="5" t="s">
        <v>615</v>
      </c>
      <c r="D17" s="12" t="s">
        <v>340</v>
      </c>
      <c r="E17" s="10" t="n">
        <v>5</v>
      </c>
      <c r="F17" s="10" t="n">
        <v>3</v>
      </c>
      <c r="G17" s="10" t="n">
        <v>2</v>
      </c>
      <c r="H17" s="10" t="n">
        <v>8</v>
      </c>
      <c r="I17" s="10" t="n">
        <v>6</v>
      </c>
      <c r="J17" s="15" t="n">
        <f aca="false">IF(COUNT(E17:I17)=0,"",AVERAGE(E17:I17))</f>
        <v>4.8</v>
      </c>
      <c r="K17" s="12" t="str">
        <f aca="false">IF(J17="","",IF(J17&gt;=Escalas!$B$11,"Alto",IF(J17&gt;=Escalas!$B$12,"Medio","Bajo")))</f>
        <v>Medio</v>
      </c>
      <c r="L17" s="10" t="s">
        <v>476</v>
      </c>
      <c r="M17" s="5" t="s">
        <v>616</v>
      </c>
      <c r="N17" s="10" t="s">
        <v>567</v>
      </c>
      <c r="O17" s="10" t="s">
        <v>478</v>
      </c>
      <c r="P17" s="5" t="s">
        <v>617</v>
      </c>
    </row>
    <row r="18" customFormat="false" ht="23.25" hidden="false" customHeight="true" outlineLevel="0" collapsed="false">
      <c r="A18" s="13" t="s">
        <v>618</v>
      </c>
      <c r="B18" s="5" t="s">
        <v>619</v>
      </c>
      <c r="C18" s="5" t="s">
        <v>605</v>
      </c>
      <c r="D18" s="12" t="s">
        <v>308</v>
      </c>
      <c r="E18" s="10"/>
      <c r="F18" s="10"/>
      <c r="G18" s="10"/>
      <c r="H18" s="10"/>
      <c r="I18" s="10"/>
      <c r="J18" s="15" t="str">
        <f aca="false">IF(COUNT(E18:I18)=0,"",AVERAGE(E18:I18))</f>
        <v/>
      </c>
      <c r="K18" s="12" t="str">
        <f aca="false">IF(J18="","",IF(J18&gt;=Escalas!$B$11,"Alto",IF(J18&gt;=Escalas!$B$12,"Medio","Bajo")))</f>
        <v/>
      </c>
      <c r="L18" s="10" t="s">
        <v>476</v>
      </c>
      <c r="M18" s="5" t="s">
        <v>620</v>
      </c>
      <c r="N18" s="10" t="s">
        <v>557</v>
      </c>
      <c r="O18" s="10" t="s">
        <v>557</v>
      </c>
      <c r="P18" s="5" t="s">
        <v>621</v>
      </c>
    </row>
    <row r="20" customFormat="false" ht="15" hidden="false" customHeight="true" outlineLevel="0" collapsed="false">
      <c r="B20" s="4" t="s">
        <v>622</v>
      </c>
      <c r="C20" s="14" t="s">
        <v>623</v>
      </c>
      <c r="D20" s="14" t="s">
        <v>624</v>
      </c>
    </row>
    <row r="21" customFormat="false" ht="15" hidden="false" customHeight="true" outlineLevel="0" collapsed="false">
      <c r="B21" s="5" t="s">
        <v>556</v>
      </c>
      <c r="C21" s="12" t="n">
        <f aca="false">COUNTIF($N$5:$N$18,B21)</f>
        <v>8</v>
      </c>
      <c r="D21" s="12" t="n">
        <f aca="false">COUNTIF($O$5:$O$18,B21)</f>
        <v>0</v>
      </c>
    </row>
    <row r="22" customFormat="false" ht="15" hidden="false" customHeight="true" outlineLevel="0" collapsed="false">
      <c r="B22" s="5" t="s">
        <v>567</v>
      </c>
      <c r="C22" s="12" t="n">
        <f aca="false">COUNTIF($N$5:$N$18,B22)</f>
        <v>3</v>
      </c>
      <c r="D22" s="12" t="n">
        <f aca="false">COUNTIF($O$5:$O$18,B22)</f>
        <v>1</v>
      </c>
    </row>
    <row r="23" customFormat="false" ht="15" hidden="false" customHeight="true" outlineLevel="0" collapsed="false">
      <c r="B23" s="5" t="s">
        <v>557</v>
      </c>
      <c r="C23" s="12" t="n">
        <f aca="false">COUNTIF($N$5:$N$18,B23)</f>
        <v>3</v>
      </c>
      <c r="D23" s="12" t="n">
        <f aca="false">COUNTIF($O$5:$O$18,B23)</f>
        <v>11</v>
      </c>
    </row>
    <row r="24" customFormat="false" ht="15" hidden="false" customHeight="true" outlineLevel="0" collapsed="false">
      <c r="B24" s="5" t="s">
        <v>478</v>
      </c>
      <c r="C24" s="12" t="n">
        <f aca="false">COUNTIF($N$5:$N$18,B24)</f>
        <v>0</v>
      </c>
      <c r="D24" s="12" t="n">
        <f aca="false">COUNTIF($O$5:$O$18,B24)</f>
        <v>2</v>
      </c>
    </row>
    <row r="25" customFormat="false" ht="15" hidden="false" customHeight="true" outlineLevel="0" collapsed="false">
      <c r="B25" s="11" t="s">
        <v>260</v>
      </c>
      <c r="C25" s="13" t="n">
        <f aca="false">SUM(C21:C24)</f>
        <v>14</v>
      </c>
      <c r="D25" s="13" t="n">
        <f aca="false">SUM(D21:D24)</f>
        <v>14</v>
      </c>
    </row>
  </sheetData>
  <autoFilter ref="A4:P18"/>
  <dataValidations count="2">
    <dataValidation allowBlank="false" errorStyle="stop" operator="between" showDropDown="false" showErrorMessage="false" showInputMessage="false" sqref="L5:L18" type="list">
      <formula1>"Aceptar,Eliminar,Evitar,Mitigar,Transferir"</formula1>
      <formula2>0</formula2>
    </dataValidation>
    <dataValidation allowBlank="false" errorStyle="stop" operator="between" showDropDown="false" showErrorMessage="false" showInputMessage="false" sqref="N5:O18" type="list">
      <formula1>"Abierto,Observado,Cerrado,Aceptado"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7" min="3" style="1" width="11"/>
  </cols>
  <sheetData>
    <row r="1" customFormat="false" ht="17.25" hidden="false" customHeight="true" outlineLevel="0" collapsed="false">
      <c r="A1" s="2" t="s">
        <v>625</v>
      </c>
    </row>
    <row r="2" customFormat="false" ht="15" hidden="false" customHeight="true" outlineLevel="0" collapsed="false">
      <c r="A2" s="3" t="s">
        <v>626</v>
      </c>
    </row>
    <row r="4" customFormat="false" ht="15" hidden="false" customHeight="true" outlineLevel="0" collapsed="false">
      <c r="A4" s="6" t="s">
        <v>627</v>
      </c>
    </row>
    <row r="5" customFormat="false" ht="15" hidden="false" customHeight="true" outlineLevel="0" collapsed="false">
      <c r="A5" s="17"/>
      <c r="B5" s="14" t="s">
        <v>628</v>
      </c>
      <c r="C5" s="14" t="n">
        <v>1</v>
      </c>
      <c r="D5" s="14" t="n">
        <v>2</v>
      </c>
      <c r="E5" s="14" t="n">
        <v>3</v>
      </c>
      <c r="F5" s="14" t="n">
        <v>4</v>
      </c>
      <c r="G5" s="14" t="n">
        <v>5</v>
      </c>
      <c r="H5" s="18" t="s">
        <v>629</v>
      </c>
    </row>
    <row r="6" customFormat="false" ht="27.75" hidden="false" customHeight="true" outlineLevel="0" collapsed="false">
      <c r="A6" s="4" t="s">
        <v>630</v>
      </c>
      <c r="B6" s="14" t="n">
        <v>5</v>
      </c>
      <c r="C6" s="19" t="n">
        <f aca="false">COUNTIFS(Matriz!$E$5:$E$33,$B6,Matriz!$F$5:$F$33,C$5)</f>
        <v>0</v>
      </c>
      <c r="D6" s="20" t="n">
        <f aca="false">COUNTIFS(Matriz!$E$5:$E$33,$B6,Matriz!$F$5:$F$33,D$5)</f>
        <v>0</v>
      </c>
      <c r="E6" s="20" t="n">
        <f aca="false">COUNTIFS(Matriz!$E$5:$E$33,$B6,Matriz!$F$5:$F$33,E$5)</f>
        <v>0</v>
      </c>
      <c r="F6" s="21" t="n">
        <f aca="false">COUNTIFS(Matriz!$E$5:$E$33,$B6,Matriz!$F$5:$F$33,F$5)</f>
        <v>0</v>
      </c>
      <c r="G6" s="21" t="n">
        <f aca="false">COUNTIFS(Matriz!$E$5:$E$33,$B6,Matriz!$F$5:$F$33,G$5)</f>
        <v>0</v>
      </c>
    </row>
    <row r="7" customFormat="false" ht="27.75" hidden="false" customHeight="true" outlineLevel="0" collapsed="false">
      <c r="A7" s="4" t="s">
        <v>257</v>
      </c>
      <c r="B7" s="14" t="n">
        <v>4</v>
      </c>
      <c r="C7" s="22" t="n">
        <f aca="false">COUNTIFS(Matriz!$E$5:$E$33,$B7,Matriz!$F$5:$F$33,C$5)</f>
        <v>0</v>
      </c>
      <c r="D7" s="19" t="n">
        <f aca="false">COUNTIFS(Matriz!$E$5:$E$33,$B7,Matriz!$F$5:$F$33,D$5)</f>
        <v>2</v>
      </c>
      <c r="E7" s="20" t="n">
        <f aca="false">COUNTIFS(Matriz!$E$5:$E$33,$B7,Matriz!$F$5:$F$33,E$5)</f>
        <v>2</v>
      </c>
      <c r="F7" s="20" t="n">
        <f aca="false">COUNTIFS(Matriz!$E$5:$E$33,$B7,Matriz!$F$5:$F$33,F$5)</f>
        <v>2</v>
      </c>
      <c r="G7" s="21" t="n">
        <f aca="false">COUNTIFS(Matriz!$E$5:$E$33,$B7,Matriz!$F$5:$F$33,G$5)</f>
        <v>2</v>
      </c>
    </row>
    <row r="8" customFormat="false" ht="27.75" hidden="false" customHeight="true" outlineLevel="0" collapsed="false">
      <c r="A8" s="4" t="s">
        <v>258</v>
      </c>
      <c r="B8" s="14" t="n">
        <v>3</v>
      </c>
      <c r="C8" s="22" t="n">
        <f aca="false">COUNTIFS(Matriz!$E$5:$E$33,$B8,Matriz!$F$5:$F$33,C$5)</f>
        <v>1</v>
      </c>
      <c r="D8" s="19" t="n">
        <f aca="false">COUNTIFS(Matriz!$E$5:$E$33,$B8,Matriz!$F$5:$F$33,D$5)</f>
        <v>0</v>
      </c>
      <c r="E8" s="19" t="n">
        <f aca="false">COUNTIFS(Matriz!$E$5:$E$33,$B8,Matriz!$F$5:$F$33,E$5)</f>
        <v>4</v>
      </c>
      <c r="F8" s="20" t="n">
        <f aca="false">COUNTIFS(Matriz!$E$5:$E$33,$B8,Matriz!$F$5:$F$33,F$5)</f>
        <v>6</v>
      </c>
      <c r="G8" s="20" t="n">
        <f aca="false">COUNTIFS(Matriz!$E$5:$E$33,$B8,Matriz!$F$5:$F$33,G$5)</f>
        <v>3</v>
      </c>
    </row>
    <row r="9" customFormat="false" ht="27.75" hidden="false" customHeight="true" outlineLevel="0" collapsed="false">
      <c r="A9" s="4" t="s">
        <v>259</v>
      </c>
      <c r="B9" s="14" t="n">
        <v>2</v>
      </c>
      <c r="C9" s="22" t="n">
        <f aca="false">COUNTIFS(Matriz!$E$5:$E$33,$B9,Matriz!$F$5:$F$33,C$5)</f>
        <v>0</v>
      </c>
      <c r="D9" s="22" t="n">
        <f aca="false">COUNTIFS(Matriz!$E$5:$E$33,$B9,Matriz!$F$5:$F$33,D$5)</f>
        <v>1</v>
      </c>
      <c r="E9" s="19" t="n">
        <f aca="false">COUNTIFS(Matriz!$E$5:$E$33,$B9,Matriz!$F$5:$F$33,E$5)</f>
        <v>1</v>
      </c>
      <c r="F9" s="19" t="n">
        <f aca="false">COUNTIFS(Matriz!$E$5:$E$33,$B9,Matriz!$F$5:$F$33,F$5)</f>
        <v>1</v>
      </c>
      <c r="G9" s="20" t="n">
        <f aca="false">COUNTIFS(Matriz!$E$5:$E$33,$B9,Matriz!$F$5:$F$33,G$5)</f>
        <v>4</v>
      </c>
    </row>
    <row r="10" customFormat="false" ht="27.75" hidden="false" customHeight="true" outlineLevel="0" collapsed="false">
      <c r="A10" s="4" t="s">
        <v>631</v>
      </c>
      <c r="B10" s="14" t="n">
        <v>1</v>
      </c>
      <c r="C10" s="22" t="n">
        <f aca="false">COUNTIFS(Matriz!$E$5:$E$33,$B10,Matriz!$F$5:$F$33,C$5)</f>
        <v>0</v>
      </c>
      <c r="D10" s="22" t="n">
        <f aca="false">COUNTIFS(Matriz!$E$5:$E$33,$B10,Matriz!$F$5:$F$33,D$5)</f>
        <v>0</v>
      </c>
      <c r="E10" s="22" t="n">
        <f aca="false">COUNTIFS(Matriz!$E$5:$E$33,$B10,Matriz!$F$5:$F$33,E$5)</f>
        <v>0</v>
      </c>
      <c r="F10" s="22" t="n">
        <f aca="false">COUNTIFS(Matriz!$E$5:$E$33,$B10,Matriz!$F$5:$F$33,F$5)</f>
        <v>0</v>
      </c>
      <c r="G10" s="19" t="n">
        <f aca="false">COUNTIFS(Matriz!$E$5:$E$33,$B10,Matriz!$F$5:$F$33,G$5)</f>
        <v>0</v>
      </c>
    </row>
    <row r="14" customFormat="false" ht="15" hidden="false" customHeight="true" outlineLevel="0" collapsed="false">
      <c r="A14" s="6" t="s">
        <v>632</v>
      </c>
    </row>
    <row r="15" customFormat="false" ht="15" hidden="false" customHeight="true" outlineLevel="0" collapsed="false">
      <c r="A15" s="17"/>
      <c r="B15" s="14" t="s">
        <v>628</v>
      </c>
      <c r="C15" s="14" t="n">
        <v>1</v>
      </c>
      <c r="D15" s="14" t="n">
        <v>2</v>
      </c>
      <c r="E15" s="14" t="n">
        <v>3</v>
      </c>
      <c r="F15" s="14" t="n">
        <v>4</v>
      </c>
      <c r="G15" s="14" t="n">
        <v>5</v>
      </c>
      <c r="H15" s="18" t="s">
        <v>629</v>
      </c>
    </row>
    <row r="16" customFormat="false" ht="27.75" hidden="false" customHeight="true" outlineLevel="0" collapsed="false">
      <c r="A16" s="4" t="s">
        <v>630</v>
      </c>
      <c r="B16" s="14" t="n">
        <v>5</v>
      </c>
      <c r="C16" s="19" t="n">
        <f aca="false">COUNTIFS(Matriz!$K$5:$K$33,$B16,Matriz!$L$5:$L$33,C$15)</f>
        <v>0</v>
      </c>
      <c r="D16" s="20" t="n">
        <f aca="false">COUNTIFS(Matriz!$K$5:$K$33,$B16,Matriz!$L$5:$L$33,D$15)</f>
        <v>0</v>
      </c>
      <c r="E16" s="20" t="n">
        <f aca="false">COUNTIFS(Matriz!$K$5:$K$33,$B16,Matriz!$L$5:$L$33,E$15)</f>
        <v>0</v>
      </c>
      <c r="F16" s="21" t="n">
        <f aca="false">COUNTIFS(Matriz!$K$5:$K$33,$B16,Matriz!$L$5:$L$33,F$15)</f>
        <v>0</v>
      </c>
      <c r="G16" s="21" t="n">
        <f aca="false">COUNTIFS(Matriz!$K$5:$K$33,$B16,Matriz!$L$5:$L$33,G$15)</f>
        <v>0</v>
      </c>
    </row>
    <row r="17" customFormat="false" ht="27.75" hidden="false" customHeight="true" outlineLevel="0" collapsed="false">
      <c r="A17" s="4" t="s">
        <v>257</v>
      </c>
      <c r="B17" s="14" t="n">
        <v>4</v>
      </c>
      <c r="C17" s="22" t="n">
        <f aca="false">COUNTIFS(Matriz!$K$5:$K$33,$B17,Matriz!$L$5:$L$33,C$15)</f>
        <v>0</v>
      </c>
      <c r="D17" s="19" t="n">
        <f aca="false">COUNTIFS(Matriz!$K$5:$K$33,$B17,Matriz!$L$5:$L$33,D$15)</f>
        <v>0</v>
      </c>
      <c r="E17" s="20" t="n">
        <f aca="false">COUNTIFS(Matriz!$K$5:$K$33,$B17,Matriz!$L$5:$L$33,E$15)</f>
        <v>0</v>
      </c>
      <c r="F17" s="20" t="n">
        <f aca="false">COUNTIFS(Matriz!$K$5:$K$33,$B17,Matriz!$L$5:$L$33,F$15)</f>
        <v>0</v>
      </c>
      <c r="G17" s="21" t="n">
        <f aca="false">COUNTIFS(Matriz!$K$5:$K$33,$B17,Matriz!$L$5:$L$33,G$15)</f>
        <v>0</v>
      </c>
    </row>
    <row r="18" customFormat="false" ht="27.75" hidden="false" customHeight="true" outlineLevel="0" collapsed="false">
      <c r="A18" s="4" t="s">
        <v>258</v>
      </c>
      <c r="B18" s="14" t="n">
        <v>3</v>
      </c>
      <c r="C18" s="22" t="n">
        <f aca="false">COUNTIFS(Matriz!$K$5:$K$33,$B18,Matriz!$L$5:$L$33,C$15)</f>
        <v>1</v>
      </c>
      <c r="D18" s="19" t="n">
        <f aca="false">COUNTIFS(Matriz!$K$5:$K$33,$B18,Matriz!$L$5:$L$33,D$15)</f>
        <v>1</v>
      </c>
      <c r="E18" s="19" t="n">
        <f aca="false">COUNTIFS(Matriz!$K$5:$K$33,$B18,Matriz!$L$5:$L$33,E$15)</f>
        <v>1</v>
      </c>
      <c r="F18" s="20" t="n">
        <f aca="false">COUNTIFS(Matriz!$K$5:$K$33,$B18,Matriz!$L$5:$L$33,F$15)</f>
        <v>0</v>
      </c>
      <c r="G18" s="20" t="n">
        <f aca="false">COUNTIFS(Matriz!$K$5:$K$33,$B18,Matriz!$L$5:$L$33,G$15)</f>
        <v>0</v>
      </c>
    </row>
    <row r="19" customFormat="false" ht="27.75" hidden="false" customHeight="true" outlineLevel="0" collapsed="false">
      <c r="A19" s="4" t="s">
        <v>259</v>
      </c>
      <c r="B19" s="14" t="n">
        <v>2</v>
      </c>
      <c r="C19" s="22" t="n">
        <f aca="false">COUNTIFS(Matriz!$K$5:$K$33,$B19,Matriz!$L$5:$L$33,C$15)</f>
        <v>0</v>
      </c>
      <c r="D19" s="22" t="n">
        <f aca="false">COUNTIFS(Matriz!$K$5:$K$33,$B19,Matriz!$L$5:$L$33,D$15)</f>
        <v>2</v>
      </c>
      <c r="E19" s="19" t="n">
        <f aca="false">COUNTIFS(Matriz!$K$5:$K$33,$B19,Matriz!$L$5:$L$33,E$15)</f>
        <v>5</v>
      </c>
      <c r="F19" s="19" t="n">
        <f aca="false">COUNTIFS(Matriz!$K$5:$K$33,$B19,Matriz!$L$5:$L$33,F$15)</f>
        <v>3</v>
      </c>
      <c r="G19" s="20" t="n">
        <f aca="false">COUNTIFS(Matriz!$K$5:$K$33,$B19,Matriz!$L$5:$L$33,G$15)</f>
        <v>0</v>
      </c>
    </row>
    <row r="20" customFormat="false" ht="27.75" hidden="false" customHeight="true" outlineLevel="0" collapsed="false">
      <c r="A20" s="4" t="s">
        <v>631</v>
      </c>
      <c r="B20" s="14" t="n">
        <v>1</v>
      </c>
      <c r="C20" s="22" t="n">
        <f aca="false">COUNTIFS(Matriz!$K$5:$K$33,$B20,Matriz!$L$5:$L$33,C$15)</f>
        <v>0</v>
      </c>
      <c r="D20" s="22" t="n">
        <f aca="false">COUNTIFS(Matriz!$K$5:$K$33,$B20,Matriz!$L$5:$L$33,D$15)</f>
        <v>1</v>
      </c>
      <c r="E20" s="22" t="n">
        <f aca="false">COUNTIFS(Matriz!$K$5:$K$33,$B20,Matriz!$L$5:$L$33,E$15)</f>
        <v>5</v>
      </c>
      <c r="F20" s="22" t="n">
        <f aca="false">COUNTIFS(Matriz!$K$5:$K$33,$B20,Matriz!$L$5:$L$33,F$15)</f>
        <v>4</v>
      </c>
      <c r="G20" s="19" t="n">
        <f aca="false">COUNTIFS(Matriz!$K$5:$K$33,$B20,Matriz!$L$5:$L$33,G$15)</f>
        <v>6</v>
      </c>
    </row>
    <row r="24" customFormat="false" ht="15" hidden="false" customHeight="true" outlineLevel="0" collapsed="false">
      <c r="A24" s="6" t="s">
        <v>633</v>
      </c>
    </row>
    <row r="25" customFormat="false" ht="15" hidden="false" customHeight="true" outlineLevel="0" collapsed="false">
      <c r="A25" s="4" t="s">
        <v>385</v>
      </c>
      <c r="B25" s="14" t="s">
        <v>634</v>
      </c>
      <c r="C25" s="14" t="s">
        <v>635</v>
      </c>
    </row>
    <row r="26" customFormat="false" ht="15" hidden="false" customHeight="true" outlineLevel="0" collapsed="false">
      <c r="A26" s="23" t="s">
        <v>636</v>
      </c>
      <c r="B26" s="12" t="n">
        <f aca="false">COUNTIF(Matriz!$H$5:$H$33,A26)</f>
        <v>2</v>
      </c>
      <c r="C26" s="12" t="n">
        <f aca="false">COUNTIF(Matriz!$N$5:$N$33,A26)</f>
        <v>0</v>
      </c>
    </row>
    <row r="27" customFormat="false" ht="15" hidden="false" customHeight="true" outlineLevel="0" collapsed="false">
      <c r="A27" s="24" t="s">
        <v>418</v>
      </c>
      <c r="B27" s="12" t="n">
        <f aca="false">COUNTIF(Matriz!$H$5:$H$33,A27)</f>
        <v>17</v>
      </c>
      <c r="C27" s="12" t="n">
        <f aca="false">COUNTIF(Matriz!$N$5:$N$33,A27)</f>
        <v>0</v>
      </c>
    </row>
    <row r="28" customFormat="false" ht="15" hidden="false" customHeight="true" outlineLevel="0" collapsed="false">
      <c r="A28" s="25" t="s">
        <v>419</v>
      </c>
      <c r="B28" s="12" t="n">
        <f aca="false">COUNTIF(Matriz!$H$5:$H$33,A28)</f>
        <v>8</v>
      </c>
      <c r="C28" s="12" t="n">
        <f aca="false">COUNTIF(Matriz!$N$5:$N$33,A28)</f>
        <v>16</v>
      </c>
    </row>
    <row r="29" customFormat="false" ht="15" hidden="false" customHeight="true" outlineLevel="0" collapsed="false">
      <c r="A29" s="26" t="s">
        <v>420</v>
      </c>
      <c r="B29" s="12" t="n">
        <f aca="false">COUNTIF(Matriz!$H$5:$H$33,A29)</f>
        <v>2</v>
      </c>
      <c r="C29" s="12" t="n">
        <f aca="false">COUNTIF(Matriz!$N$5:$N$33,A29)</f>
        <v>13</v>
      </c>
    </row>
    <row r="30" customFormat="false" ht="15" hidden="false" customHeight="true" outlineLevel="0" collapsed="false">
      <c r="A30" s="11" t="s">
        <v>260</v>
      </c>
      <c r="B30" s="13" t="n">
        <f aca="false">SUM(B26:B29)</f>
        <v>29</v>
      </c>
      <c r="C30" s="13" t="n">
        <f aca="false">SUM(C26:C29)</f>
        <v>29</v>
      </c>
    </row>
    <row r="32" customFormat="false" ht="15" hidden="false" customHeight="true" outlineLevel="0" collapsed="false">
      <c r="A32" s="3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66"/>
    <col collapsed="false" customWidth="true" hidden="false" outlineLevel="0" max="4" min="4" style="1" width="22"/>
    <col collapsed="false" customWidth="true" hidden="false" outlineLevel="0" max="5" min="5" style="1" width="60"/>
    <col collapsed="false" customWidth="true" hidden="false" outlineLevel="0" max="6" min="6" style="1" width="44"/>
  </cols>
  <sheetData>
    <row r="1" customFormat="false" ht="17.25" hidden="false" customHeight="true" outlineLevel="0" collapsed="false">
      <c r="A1" s="2" t="s">
        <v>638</v>
      </c>
    </row>
    <row r="2" customFormat="false" ht="15" hidden="false" customHeight="true" outlineLevel="0" collapsed="false">
      <c r="A2" s="3" t="s">
        <v>639</v>
      </c>
    </row>
    <row r="4" customFormat="false" ht="31.5" hidden="false" customHeight="true" outlineLevel="0" collapsed="false">
      <c r="A4" s="9" t="s">
        <v>640</v>
      </c>
      <c r="B4" s="9" t="s">
        <v>641</v>
      </c>
      <c r="C4" s="9" t="s">
        <v>429</v>
      </c>
      <c r="D4" s="9" t="s">
        <v>642</v>
      </c>
      <c r="E4" s="9" t="s">
        <v>643</v>
      </c>
      <c r="F4" s="9" t="s">
        <v>430</v>
      </c>
    </row>
    <row r="5" customFormat="false" ht="34.5" hidden="false" customHeight="true" outlineLevel="0" collapsed="false">
      <c r="A5" s="11" t="s">
        <v>644</v>
      </c>
      <c r="B5" s="5" t="s">
        <v>645</v>
      </c>
      <c r="C5" s="5" t="s">
        <v>646</v>
      </c>
      <c r="D5" s="5" t="s">
        <v>647</v>
      </c>
      <c r="E5" s="5" t="s">
        <v>648</v>
      </c>
      <c r="F5" s="5" t="s">
        <v>649</v>
      </c>
    </row>
    <row r="6" customFormat="false" ht="23.25" hidden="false" customHeight="true" outlineLevel="0" collapsed="false">
      <c r="A6" s="11" t="s">
        <v>650</v>
      </c>
      <c r="B6" s="5" t="s">
        <v>651</v>
      </c>
      <c r="C6" s="5" t="s">
        <v>652</v>
      </c>
      <c r="D6" s="5" t="s">
        <v>653</v>
      </c>
      <c r="E6" s="5" t="s">
        <v>654</v>
      </c>
      <c r="F6" s="5" t="s">
        <v>655</v>
      </c>
    </row>
    <row r="7" customFormat="false" ht="34.5" hidden="false" customHeight="true" outlineLevel="0" collapsed="false">
      <c r="A7" s="11" t="s">
        <v>650</v>
      </c>
      <c r="B7" s="5" t="s">
        <v>656</v>
      </c>
      <c r="C7" s="5" t="s">
        <v>657</v>
      </c>
      <c r="D7" s="5" t="s">
        <v>658</v>
      </c>
      <c r="E7" s="5" t="s">
        <v>659</v>
      </c>
      <c r="F7" s="5" t="s">
        <v>660</v>
      </c>
    </row>
    <row r="8" customFormat="false" ht="23.25" hidden="false" customHeight="true" outlineLevel="0" collapsed="false">
      <c r="A8" s="11" t="s">
        <v>650</v>
      </c>
      <c r="B8" s="5" t="s">
        <v>661</v>
      </c>
      <c r="C8" s="5" t="s">
        <v>662</v>
      </c>
      <c r="D8" s="5" t="s">
        <v>663</v>
      </c>
      <c r="E8" s="5" t="s">
        <v>664</v>
      </c>
      <c r="F8" s="5" t="s">
        <v>665</v>
      </c>
    </row>
    <row r="9" customFormat="false" ht="23.25" hidden="false" customHeight="true" outlineLevel="0" collapsed="false">
      <c r="A9" s="11" t="s">
        <v>650</v>
      </c>
      <c r="B9" s="5" t="s">
        <v>666</v>
      </c>
      <c r="C9" s="5" t="s">
        <v>667</v>
      </c>
      <c r="D9" s="5" t="s">
        <v>668</v>
      </c>
      <c r="E9" s="5" t="s">
        <v>669</v>
      </c>
      <c r="F9" s="5" t="s">
        <v>670</v>
      </c>
    </row>
    <row r="10" customFormat="false" ht="23.25" hidden="false" customHeight="true" outlineLevel="0" collapsed="false">
      <c r="A10" s="11" t="s">
        <v>671</v>
      </c>
      <c r="B10" s="5" t="s">
        <v>672</v>
      </c>
      <c r="C10" s="5" t="s">
        <v>673</v>
      </c>
      <c r="D10" s="5" t="s">
        <v>674</v>
      </c>
      <c r="E10" s="5" t="s">
        <v>675</v>
      </c>
      <c r="F10" s="5" t="s">
        <v>676</v>
      </c>
    </row>
    <row r="11" customFormat="false" ht="23.25" hidden="false" customHeight="true" outlineLevel="0" collapsed="false">
      <c r="A11" s="11" t="s">
        <v>677</v>
      </c>
      <c r="B11" s="5" t="s">
        <v>678</v>
      </c>
      <c r="C11" s="5" t="s">
        <v>679</v>
      </c>
      <c r="D11" s="5" t="s">
        <v>348</v>
      </c>
      <c r="E11" s="5" t="s">
        <v>680</v>
      </c>
      <c r="F11" s="5" t="s">
        <v>681</v>
      </c>
    </row>
    <row r="12" customFormat="false" ht="23.25" hidden="false" customHeight="true" outlineLevel="0" collapsed="false">
      <c r="A12" s="11" t="s">
        <v>682</v>
      </c>
      <c r="B12" s="5" t="s">
        <v>683</v>
      </c>
      <c r="C12" s="5" t="s">
        <v>684</v>
      </c>
      <c r="D12" s="5" t="s">
        <v>685</v>
      </c>
      <c r="E12" s="5" t="s">
        <v>686</v>
      </c>
      <c r="F12" s="5" t="s">
        <v>687</v>
      </c>
    </row>
    <row r="13" customFormat="false" ht="34.5" hidden="false" customHeight="true" outlineLevel="0" collapsed="false">
      <c r="A13" s="11" t="s">
        <v>688</v>
      </c>
      <c r="B13" s="5" t="s">
        <v>689</v>
      </c>
      <c r="C13" s="5" t="s">
        <v>690</v>
      </c>
      <c r="D13" s="5" t="s">
        <v>368</v>
      </c>
      <c r="E13" s="5" t="s">
        <v>691</v>
      </c>
      <c r="F13" s="5" t="s">
        <v>692</v>
      </c>
    </row>
    <row r="14" customFormat="false" ht="34.5" hidden="false" customHeight="true" outlineLevel="0" collapsed="false">
      <c r="A14" s="11" t="s">
        <v>693</v>
      </c>
      <c r="B14" s="5" t="s">
        <v>694</v>
      </c>
      <c r="C14" s="5" t="s">
        <v>695</v>
      </c>
      <c r="D14" s="5" t="s">
        <v>696</v>
      </c>
      <c r="E14" s="5" t="s">
        <v>697</v>
      </c>
      <c r="F14" s="5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2026-10-14T20:09:28Z</dcterms:created>
  <dc:creator>openpyxl</dc:creator>
  <dc:description/>
  <dc:language>en-US</dc:language>
  <cp:lastModifiedBy/>
  <dcterms:modified xsi:type="dcterms:W3CDTF">2026-10-27T02:40:10Z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